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ward look (weekly)" sheetId="1" state="visible" r:id="rId1"/>
    <sheet name="Monthly grid" sheetId="2" state="visible" r:id="rId2"/>
    <sheet name="Publications info" sheetId="3" state="visible" r:id="rId3"/>
  </sheets>
</workbook>
</file>

<file path=xl/sharedStrings.xml><?xml version="1.0" encoding="utf-8"?>
<sst xmlns="http://schemas.openxmlformats.org/spreadsheetml/2006/main" count="388" uniqueCount="388">
  <si>
    <t xml:space="preserve">MoJ Statistics Forward Look (Weekly View)</t>
  </si>
  <si>
    <t xml:space="preserve">This list contains a week-by-week view of regular MoJ Official Statistics releases that have been pre-announced on the gov.uk release calendar. The list is updated every week on a Thursday.</t>
  </si>
  <si>
    <t xml:space="preserve">Click here to view on the gov.uk Research and Statistics calendar</t>
  </si>
  <si>
    <t xml:space="preserve">Last updated:  Wednesday 29 April 2026</t>
  </si>
  <si>
    <t xml:space="preserve">Week Commencing</t>
  </si>
  <si>
    <t xml:space="preserve">Publication Title</t>
  </si>
  <si>
    <t xml:space="preserve">Publication Date</t>
  </si>
  <si>
    <t xml:space="preserve">Status</t>
  </si>
  <si>
    <t xml:space="preserve">Confirm release by</t>
  </si>
  <si>
    <t xml:space="preserve">Week</t>
  </si>
  <si>
    <t xml:space="preserve">Type</t>
  </si>
  <si>
    <t xml:space="preserve">Usual publication month(s)</t>
  </si>
  <si>
    <t xml:space="preserve">April 2026</t>
  </si>
  <si>
    <t xml:space="preserve">Mon 27 Apr 2026</t>
  </si>
  <si>
    <t xml:space="preserve">Criminal Justice Statistics Quarterly: December 2025</t>
  </si>
  <si>
    <t xml:space="preserve">Thu 30 Apr 2026</t>
  </si>
  <si>
    <t xml:space="preserve">confirmed</t>
  </si>
  <si>
    <t xml:space="preserve">Thu 02 Apr 2026</t>
  </si>
  <si>
    <t xml:space="preserve">standard</t>
  </si>
  <si>
    <t xml:space="preserve">Feb, May, Aug,Nov </t>
  </si>
  <si>
    <t xml:space="preserve">Safety in the Children and Young People Secure Estate: Update to December 2025</t>
  </si>
  <si>
    <t xml:space="preserve">Jan, Apr, Jul, Oct </t>
  </si>
  <si>
    <t xml:space="preserve">Safety in custody: quarterly update to December 2025</t>
  </si>
  <si>
    <t xml:space="preserve">Offender management statistics quarterly: October to December 2025</t>
  </si>
  <si>
    <t xml:space="preserve">Proven reoffending statistics: April to June 2024</t>
  </si>
  <si>
    <t xml:space="preserve">Justice data lab statistics: April 2026</t>
  </si>
  <si>
    <t xml:space="preserve">May 2026</t>
  </si>
  <si>
    <t xml:space="preserve">Mon 04 May 2026</t>
  </si>
  <si>
    <t xml:space="preserve">Mon 11 May 2026</t>
  </si>
  <si>
    <t xml:space="preserve">Unpaid work management information, update to December 2025</t>
  </si>
  <si>
    <t xml:space="preserve">Thu 14 May 2026</t>
  </si>
  <si>
    <t xml:space="preserve">Thu 16 Apr 2026</t>
  </si>
  <si>
    <t xml:space="preserve">May, Nov</t>
  </si>
  <si>
    <t xml:space="preserve">Coroners statistics 2025</t>
  </si>
  <si>
    <t xml:space="preserve">May </t>
  </si>
  <si>
    <t xml:space="preserve">Mon 18 May 2026</t>
  </si>
  <si>
    <t xml:space="preserve">HM Prison &amp; Probation Service workforce quarterly: March 2026</t>
  </si>
  <si>
    <t xml:space="preserve">Thu 21 May 2026</t>
  </si>
  <si>
    <t xml:space="preserve">Thu 23 Apr 2026</t>
  </si>
  <si>
    <t xml:space="preserve">Mortgage and landlord possession statistics: January to March 2026</t>
  </si>
  <si>
    <t xml:space="preserve">First time entrants (FTE) and Offender Histories: 2025</t>
  </si>
  <si>
    <t xml:space="preserve">Knife and Offensive Weapon Sentencing Statistics: October to December 2025</t>
  </si>
  <si>
    <t xml:space="preserve">Feb, May, Aug, Nov </t>
  </si>
  <si>
    <t xml:space="preserve">Mon 25 May 2026</t>
  </si>
  <si>
    <t xml:space="preserve">June 2026</t>
  </si>
  <si>
    <t xml:space="preserve">Mon 01 Jun 2026</t>
  </si>
  <si>
    <t xml:space="preserve">Civil justice statistics quarterly: January to March 2026</t>
  </si>
  <si>
    <t xml:space="preserve">Thu 04 Jun 2026</t>
  </si>
  <si>
    <t xml:space="preserve">provisional</t>
  </si>
  <si>
    <t xml:space="preserve">Thu 07 May 2026</t>
  </si>
  <si>
    <t xml:space="preserve">Mar, Jun, Sep, Dec </t>
  </si>
  <si>
    <t xml:space="preserve">Mon 08 Jun 2026</t>
  </si>
  <si>
    <t xml:space="preserve">Tribunals statistics quarterly: January to March 2026</t>
  </si>
  <si>
    <t xml:space="preserve">Thu 11 Jun 2026</t>
  </si>
  <si>
    <t xml:space="preserve">Mon 15 Jun 2026</t>
  </si>
  <si>
    <t xml:space="preserve">Mon 22 Jun 2026</t>
  </si>
  <si>
    <t xml:space="preserve">Legal aid statistics quarterly: January to March 2026</t>
  </si>
  <si>
    <t xml:space="preserve">Thu 25 Jun 2026</t>
  </si>
  <si>
    <t xml:space="preserve">Thu 28 May 2026</t>
  </si>
  <si>
    <t xml:space="preserve">Criminal court statistics quarterly: January to March 2026</t>
  </si>
  <si>
    <t xml:space="preserve">Family court statistics quarterly: January to March 2026</t>
  </si>
  <si>
    <t xml:space="preserve">Mon 29 Jun 2026</t>
  </si>
  <si>
    <t xml:space="preserve">July 2026</t>
  </si>
  <si>
    <t xml:space="preserve">Mon 06 Jul 2026</t>
  </si>
  <si>
    <t xml:space="preserve">Diversity of the judiciary: 2026 statistics</t>
  </si>
  <si>
    <t xml:space="preserve">Thu 09 Jul 2026</t>
  </si>
  <si>
    <t xml:space="preserve">July </t>
  </si>
  <si>
    <t xml:space="preserve">Mon 13 Jul 2026</t>
  </si>
  <si>
    <t xml:space="preserve">Mon 20 Jul 2026</t>
  </si>
  <si>
    <t xml:space="preserve">Mon 27 Jul 2026</t>
  </si>
  <si>
    <t xml:space="preserve">Justice data lab statistics: July 2026</t>
  </si>
  <si>
    <t xml:space="preserve">Fri 31 Jul 2026</t>
  </si>
  <si>
    <t xml:space="preserve">Fri 03 Jul 2026</t>
  </si>
  <si>
    <t xml:space="preserve">Prison Performance Ratings: 2025 to 2026</t>
  </si>
  <si>
    <t xml:space="preserve">Jul </t>
  </si>
  <si>
    <t xml:space="preserve">Safety in the Children and Young People Secure Estate: Update to March 2026</t>
  </si>
  <si>
    <t xml:space="preserve">Thu 30 Jul 2026</t>
  </si>
  <si>
    <t xml:space="preserve">Thu 02 Jul 2026</t>
  </si>
  <si>
    <t xml:space="preserve">Offender management statistics quarterly: January to March 2026</t>
  </si>
  <si>
    <t xml:space="preserve">Safety in custody: quarterly update to March 2026</t>
  </si>
  <si>
    <t xml:space="preserve">Offender employment outcomes, update to March 2026</t>
  </si>
  <si>
    <t xml:space="preserve">July</t>
  </si>
  <si>
    <t xml:space="preserve">Offender accommodation outcomes, update to March 2026</t>
  </si>
  <si>
    <t xml:space="preserve">Community Performance Annual, update to March 2026</t>
  </si>
  <si>
    <t xml:space="preserve">Jul</t>
  </si>
  <si>
    <t xml:space="preserve">Proven reoffending statistics: July to September 2024</t>
  </si>
  <si>
    <t xml:space="preserve">Criminal Justice Statistics Quarterly: March 2026</t>
  </si>
  <si>
    <t xml:space="preserve">HMPPS Annual Digest, April 2025 to March 2026</t>
  </si>
  <si>
    <t xml:space="preserve">August 2026</t>
  </si>
  <si>
    <t xml:space="preserve">Mon 03 Aug 2026</t>
  </si>
  <si>
    <t xml:space="preserve">Mon 10 Aug 2026</t>
  </si>
  <si>
    <t xml:space="preserve">Mortgage and landlord possession statistics: April to June 2026</t>
  </si>
  <si>
    <t xml:space="preserve">Thu 13 Aug 2026</t>
  </si>
  <si>
    <t xml:space="preserve">Thu 16 Jul 2026</t>
  </si>
  <si>
    <t xml:space="preserve">Mon 17 Aug 2026</t>
  </si>
  <si>
    <t xml:space="preserve">HM Prison &amp; Probation Service workforce quarterly: June 2026</t>
  </si>
  <si>
    <t xml:space="preserve">Thu 20 Aug 2026</t>
  </si>
  <si>
    <t xml:space="preserve">Thu 23 Jul 2026</t>
  </si>
  <si>
    <t xml:space="preserve">Knife and Offensive Weapon Sentencing Statistics:  January to March 2026</t>
  </si>
  <si>
    <t xml:space="preserve">Mon 24 Aug 2026</t>
  </si>
  <si>
    <t xml:space="preserve">Mon 31 Aug 2026</t>
  </si>
  <si>
    <t xml:space="preserve">Civil justice statistics quarterly: April to June 2026</t>
  </si>
  <si>
    <t xml:space="preserve">Thu 03 Sep 2026</t>
  </si>
  <si>
    <t xml:space="preserve">Thu 06 Aug 2026</t>
  </si>
  <si>
    <t xml:space="preserve">September 2026</t>
  </si>
  <si>
    <t xml:space="preserve">Mon 07 Sep 2026</t>
  </si>
  <si>
    <t xml:space="preserve">Tribunals statistics quarterly: April to June 2026</t>
  </si>
  <si>
    <t xml:space="preserve">Thu 10 Sep 2026</t>
  </si>
  <si>
    <t xml:space="preserve">Mon 14 Sep 2026</t>
  </si>
  <si>
    <t xml:space="preserve">Mon 21 Sep 2026</t>
  </si>
  <si>
    <t xml:space="preserve">Family court statistics quarterly: April to June 2026</t>
  </si>
  <si>
    <t xml:space="preserve">Thu 24 Sep 2026</t>
  </si>
  <si>
    <t xml:space="preserve">Thu 27 Aug 2026</t>
  </si>
  <si>
    <t xml:space="preserve">Legal aid statistics quarterly: April to June 2026</t>
  </si>
  <si>
    <t xml:space="preserve">Mon 28 Sep 2026</t>
  </si>
  <si>
    <t xml:space="preserve">Criminal court statistics quarterly: April to June 2026</t>
  </si>
  <si>
    <t xml:space="preserve">Wed 30 Sep 2026</t>
  </si>
  <si>
    <t xml:space="preserve">Wed 02 Sep 2026</t>
  </si>
  <si>
    <t xml:space="preserve">October 2026</t>
  </si>
  <si>
    <t xml:space="preserve">Mon 05 Oct 2026</t>
  </si>
  <si>
    <t xml:space="preserve">Mon 12 Oct 2026</t>
  </si>
  <si>
    <t xml:space="preserve">Mon 19 Oct 2026</t>
  </si>
  <si>
    <t xml:space="preserve">Criminal Justice Statistics Quarterly: June 2026</t>
  </si>
  <si>
    <t xml:space="preserve">Thu 22 Oct 2026</t>
  </si>
  <si>
    <t xml:space="preserve">Mon 26 Oct 2026</t>
  </si>
  <si>
    <t xml:space="preserve">Justice data lab statistics: October 2026</t>
  </si>
  <si>
    <t xml:space="preserve">Sat 31 Oct 2026</t>
  </si>
  <si>
    <t xml:space="preserve">Sat 03 Oct 2026</t>
  </si>
  <si>
    <t xml:space="preserve">Deaths of offenders supervised in the community, England and Wales, annual update to March 2026</t>
  </si>
  <si>
    <t xml:space="preserve">Thu 29 Oct 2026</t>
  </si>
  <si>
    <t xml:space="preserve">Thu 01 Oct 2026</t>
  </si>
  <si>
    <t xml:space="preserve">Oct </t>
  </si>
  <si>
    <t xml:space="preserve">Proven reoffending statistics: October to December 2024</t>
  </si>
  <si>
    <t xml:space="preserve">Offender management statistics quarterly: April to June 2026</t>
  </si>
  <si>
    <t xml:space="preserve">Safety in the Children and Young People Secure Estate: Update to June 2026</t>
  </si>
  <si>
    <t xml:space="preserve">Safety in custody: quarterly update to June 2026</t>
  </si>
  <si>
    <t xml:space="preserve">November 2026</t>
  </si>
  <si>
    <t xml:space="preserve">Mon 02 Nov 2026</t>
  </si>
  <si>
    <t xml:space="preserve">Unpaid work management information, update to June 2026</t>
  </si>
  <si>
    <t xml:space="preserve">Thu 05 Nov 2026</t>
  </si>
  <si>
    <t xml:space="preserve">Thu 08 Oct 2026</t>
  </si>
  <si>
    <t xml:space="preserve">Mon 09 Nov 2026</t>
  </si>
  <si>
    <t xml:space="preserve">Mortgage and landlord possession statistics: July to September 2026</t>
  </si>
  <si>
    <t xml:space="preserve">Thu 12 Nov 2026</t>
  </si>
  <si>
    <t xml:space="preserve">Thu 15 Oct 2026</t>
  </si>
  <si>
    <t xml:space="preserve">Mon 16 Nov 2026</t>
  </si>
  <si>
    <t xml:space="preserve">Knife and Offensive Weapon Sentencing Statistics: April to June 2026</t>
  </si>
  <si>
    <t xml:space="preserve">Thu 19 Nov 2026</t>
  </si>
  <si>
    <t xml:space="preserve">HM Prison &amp; Probation Service workforce quarterly: September 2026</t>
  </si>
  <si>
    <t xml:space="preserve">Mon 23 Nov 2026</t>
  </si>
  <si>
    <t xml:space="preserve">HM Prison and Probation Service Offender Equalities Report: 2025 to 2026</t>
  </si>
  <si>
    <t xml:space="preserve">Thu 26 Nov 2026</t>
  </si>
  <si>
    <t xml:space="preserve">Nov </t>
  </si>
  <si>
    <t xml:space="preserve">Prison Education and Accredited Programme Statistics 2025 to 2026</t>
  </si>
  <si>
    <t xml:space="preserve">Sep</t>
  </si>
  <si>
    <t xml:space="preserve">Mon 30 Nov 2026</t>
  </si>
  <si>
    <t xml:space="preserve">Prison Population Projections 2026 to 2031</t>
  </si>
  <si>
    <t xml:space="preserve">December</t>
  </si>
  <si>
    <t xml:space="preserve">Civil Justice statistics quarterly: July to September 2026</t>
  </si>
  <si>
    <t xml:space="preserve">Thu 03 Dec 2026</t>
  </si>
  <si>
    <t xml:space="preserve">December 2026</t>
  </si>
  <si>
    <t xml:space="preserve">Mon 07 Dec 2026</t>
  </si>
  <si>
    <t xml:space="preserve">Tribunals statistics quarterly: July to September 2026</t>
  </si>
  <si>
    <t xml:space="preserve">Thu 10 Dec 2026</t>
  </si>
  <si>
    <t xml:space="preserve">Mon 14 Dec 2026</t>
  </si>
  <si>
    <t xml:space="preserve">Criminal court statistics quarterly: July to September 2026</t>
  </si>
  <si>
    <t xml:space="preserve">Thu 17 Dec 2026</t>
  </si>
  <si>
    <t xml:space="preserve">Mon 21 Dec 2026</t>
  </si>
  <si>
    <t xml:space="preserve">Mon 28 Dec 2026</t>
  </si>
  <si>
    <t xml:space="preserve">January 2027</t>
  </si>
  <si>
    <t xml:space="preserve">Mon 04 Jan 2027</t>
  </si>
  <si>
    <t xml:space="preserve">Mon 11 Jan 2027</t>
  </si>
  <si>
    <t xml:space="preserve">Mon 18 Jan 2027</t>
  </si>
  <si>
    <t xml:space="preserve">Mon 25 Jan 2027</t>
  </si>
  <si>
    <t xml:space="preserve">Safety in the Children and Young People Secure Estate: Update to September 2026</t>
  </si>
  <si>
    <t xml:space="preserve">Thu 28 Jan 2027</t>
  </si>
  <si>
    <t xml:space="preserve">Thu 31 Dec 2026</t>
  </si>
  <si>
    <t xml:space="preserve">Offender management statistics quarterly: July to September 2026</t>
  </si>
  <si>
    <t xml:space="preserve">Safety in custody: quarterly update to September 2026</t>
  </si>
  <si>
    <t xml:space="preserve">Justice data lab statistics: January 2027</t>
  </si>
  <si>
    <t xml:space="preserve">Sun 31 Jan 2027</t>
  </si>
  <si>
    <t xml:space="preserve">Sun 03 Jan 2027</t>
  </si>
  <si>
    <t xml:space="preserve">Criminal Justice Statistics Quarterly: September 2026</t>
  </si>
  <si>
    <t xml:space="preserve">Proven reoffending statistics: January to March 2025</t>
  </si>
  <si>
    <t xml:space="preserve">February 2027</t>
  </si>
  <si>
    <t xml:space="preserve">Mon 01 Feb 2027</t>
  </si>
  <si>
    <t xml:space="preserve">Mon 08 Feb 2027</t>
  </si>
  <si>
    <t xml:space="preserve">Mortgage and landlord possession statistics: October to December 2026</t>
  </si>
  <si>
    <t xml:space="preserve">Thu 11 Feb 2027</t>
  </si>
  <si>
    <t xml:space="preserve">Thu 14 Jan 2027</t>
  </si>
  <si>
    <t xml:space="preserve">Mon 15 Feb 2027</t>
  </si>
  <si>
    <t xml:space="preserve">Knife and Offensive Weapon Sentencing Statistics:  July to September 2026</t>
  </si>
  <si>
    <t xml:space="preserve">Thu 18 Feb 2027</t>
  </si>
  <si>
    <t xml:space="preserve">Thu 21 Jan 2027</t>
  </si>
  <si>
    <t xml:space="preserve">Mon 22 Feb 2027</t>
  </si>
  <si>
    <t xml:space="preserve">March 2027</t>
  </si>
  <si>
    <t xml:space="preserve">Mon 01 Mar 2027</t>
  </si>
  <si>
    <t xml:space="preserve">Civil justice statistics quarterly: October to December 2026</t>
  </si>
  <si>
    <t xml:space="preserve">Thu 04 Mar 2027</t>
  </si>
  <si>
    <t xml:space="preserve">Thu 04 Feb 2027</t>
  </si>
  <si>
    <t xml:space="preserve">Mon 08 Mar 2027</t>
  </si>
  <si>
    <t xml:space="preserve">Mon 15 Mar 2027</t>
  </si>
  <si>
    <t xml:space="preserve">Mon 22 Mar 2027</t>
  </si>
  <si>
    <t xml:space="preserve">Thu 25 Mar 2027</t>
  </si>
  <si>
    <t xml:space="preserve">Thu 25 Feb 2027</t>
  </si>
  <si>
    <t xml:space="preserve">Mon 29 Mar 2027</t>
  </si>
  <si>
    <t xml:space="preserve">Criminal court statistics quarterly: October to December 2026</t>
  </si>
  <si>
    <t xml:space="preserve">Tue 30 Mar 2027</t>
  </si>
  <si>
    <t xml:space="preserve">Tue 02 Mar 2027</t>
  </si>
  <si>
    <t xml:space="preserve">MoJ Statistics Forward Look (Monthly Grid)</t>
  </si>
  <si>
    <t xml:space="preserve">This list contains a monthly grid of pre-announced releases of all MoJ Official Statistics publications on the gov.uk release calendar. The list is updated every week on a Thursday.</t>
  </si>
  <si>
    <t xml:space="preserve">Publication series</t>
  </si>
  <si>
    <t xml:space="preserve">Apr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</si>
  <si>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</si>
  <si>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</si>
  <si>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</si>
  <si>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</si>
  <si>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</si>
  <si>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</si>
  <si>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</si>
  <si>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</si>
  <si>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</si>
  <si>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</si>
  <si>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Civil justice statistics quarterly</t>
  </si>
  <si>
    <t xml:space="preserve"/>
  </si>
  <si>
    <t xml:space="preserve">Thu 04 Jun 2026 (provisional)</t>
  </si>
  <si>
    <t xml:space="preserve">Thu 03 Sep 2026 (provisional)</t>
  </si>
  <si>
    <t xml:space="preserve">Thu 03 Dec 2026 (provisional)</t>
  </si>
  <si>
    <t xml:space="preserve">Thu 04 Mar 2027 (provisional)</t>
  </si>
  <si>
    <t xml:space="preserve">Community Performance Annual</t>
  </si>
  <si>
    <t xml:space="preserve">Thu 30 Jul 2026 (confirmed)</t>
  </si>
  <si>
    <t xml:space="preserve">Coroners statistics</t>
  </si>
  <si>
    <t xml:space="preserve">Thu 14 May 2026 (confirmed)</t>
  </si>
  <si>
    <t xml:space="preserve">Criminal court statistics quarterly</t>
  </si>
  <si>
    <t xml:space="preserve">Thu 25 Jun 2026 (confirmed)</t>
  </si>
  <si>
    <t xml:space="preserve">Wed 30 Sep 2026 (provisional)</t>
  </si>
  <si>
    <t xml:space="preserve">Thu 17 Dec 2026 (provisional)</t>
  </si>
  <si>
    <t xml:space="preserve">Tue 30 Mar 2027 (provisional)</t>
  </si>
  <si>
    <t xml:space="preserve">Criminal Justice statistics quarterly</t>
  </si>
  <si>
    <t xml:space="preserve">Thu 30 Apr 2026 (confirmed)</t>
  </si>
  <si>
    <t xml:space="preserve">Thu 30 Jul 2026 (provisional)</t>
  </si>
  <si>
    <t xml:space="preserve">Thu 22 Oct 2026 (provisional)</t>
  </si>
  <si>
    <t xml:space="preserve">Thu 28 Jan 2027 (provisional)</t>
  </si>
  <si>
    <t xml:space="preserve">Deaths of offenders supervised in the community</t>
  </si>
  <si>
    <t xml:space="preserve">Thu 29 Oct 2026 (confirmed)</t>
  </si>
  <si>
    <t xml:space="preserve">Diversity of the judiciary</t>
  </si>
  <si>
    <t xml:space="preserve">Thu 09 Jul 2026 (provisional)</t>
  </si>
  <si>
    <t xml:space="preserve">Electronic Monitoring Statistics Annual Publication</t>
  </si>
  <si>
    <t xml:space="preserve">Electronic Monitoring Statistics Publication</t>
  </si>
  <si>
    <t xml:space="preserve">Ethnicity and the Criminal Justice System</t>
  </si>
  <si>
    <t xml:space="preserve">Nov</t>
  </si>
  <si>
    <t xml:space="preserve">Family court statistics quarterly</t>
  </si>
  <si>
    <t xml:space="preserve">Thu 25 Jun 2026 (provisional)</t>
  </si>
  <si>
    <t xml:space="preserve">Thu 24 Sep 2026 (provisional)</t>
  </si>
  <si>
    <t xml:space="preserve">Thu 25 Mar 2027 (provisional)</t>
  </si>
  <si>
    <t xml:space="preserve">first time entrants (fte) and offender histories</t>
  </si>
  <si>
    <t xml:space="preserve">Thu 21 May 2026 (confirmed)</t>
  </si>
  <si>
    <t xml:space="preserve">First time entrants (FTE) into the Criminal Justice System and Offender Histories</t>
  </si>
  <si>
    <t xml:space="preserve">May </t>
  </si>
  <si>
    <t xml:space="preserve">HMPPS Annual Digest</t>
  </si>
  <si>
    <t xml:space="preserve">HMPPS offender equalities report</t>
  </si>
  <si>
    <t xml:space="preserve">Thu 26 Nov 2026 (provisional)</t>
  </si>
  <si>
    <t xml:space="preserve">HMPPS workforce quarterly</t>
  </si>
  <si>
    <t xml:space="preserve">Thu 20 Aug 2026 (provisional)</t>
  </si>
  <si>
    <t xml:space="preserve">Thu 19 Nov 2026 (provisional)</t>
  </si>
  <si>
    <t xml:space="preserve">HMPPS Staff Equalities Report</t>
  </si>
  <si>
    <t xml:space="preserve">Justice data lab statistics</t>
  </si>
  <si>
    <t xml:space="preserve">Fri 31 Jul 2026 (provisional)</t>
  </si>
  <si>
    <t xml:space="preserve">Sat 31 Oct 2026 (provisional)</t>
  </si>
  <si>
    <t xml:space="preserve">Sun 31 Jan 2027 (provisional)</t>
  </si>
  <si>
    <t xml:space="preserve">Knife and Offensive Weapon Sentencing Statistics</t>
  </si>
  <si>
    <t xml:space="preserve">Thu 18 Feb 2027 (provisional)</t>
  </si>
  <si>
    <t xml:space="preserve">Legal aid statistics quarterly</t>
  </si>
  <si>
    <t xml:space="preserve">Mortgage and landlord possession statistics</t>
  </si>
  <si>
    <t xml:space="preserve">Thu 13 Aug 2026 (provisional)</t>
  </si>
  <si>
    <t xml:space="preserve">Thu 12 Nov 2026 (provisional)</t>
  </si>
  <si>
    <t xml:space="preserve">Thu 11 Feb 2027 (provisional)</t>
  </si>
  <si>
    <t xml:space="preserve">Multi-Agency Public Protection Arrangements (MAPPA) annual report</t>
  </si>
  <si>
    <t xml:space="preserve">Offender accommodation outcomes</t>
  </si>
  <si>
    <t xml:space="preserve">Offender employment outcomes</t>
  </si>
  <si>
    <t xml:space="preserve">Offender management statistics quarterly</t>
  </si>
  <si>
    <t xml:space="preserve">Thu 29 Oct 2026 (provisional)</t>
  </si>
  <si>
    <t xml:space="preserve">Prison Education and Accredited Programme Statistics</t>
  </si>
  <si>
    <t xml:space="preserve">Prison Performance Ratings</t>
  </si>
  <si>
    <t xml:space="preserve">Prison Population Projections</t>
  </si>
  <si>
    <t xml:space="preserve">Mon 30 Nov 2026 (provisional)</t>
  </si>
  <si>
    <t xml:space="preserve">Proven reoffending statistics</t>
  </si>
  <si>
    <t xml:space="preserve">Restricted Patients Statistics</t>
  </si>
  <si>
    <t xml:space="preserve">Apr</t>
  </si>
  <si>
    <t xml:space="preserve">Safety in custody</t>
  </si>
  <si>
    <t xml:space="preserve">Thu 28 Jan 2027 (confirmed)</t>
  </si>
  <si>
    <t xml:space="preserve">Safety in the Children and Young People Secure Estate</t>
  </si>
  <si>
    <t xml:space="preserve">Serious further offences</t>
  </si>
  <si>
    <t xml:space="preserve">Tribunals statistics quarterly</t>
  </si>
  <si>
    <t xml:space="preserve">Thu 11 Jun 2026 (provisional)</t>
  </si>
  <si>
    <t xml:space="preserve">Thu 10 Sep 2026 (provisional)</t>
  </si>
  <si>
    <t xml:space="preserve">Thu 10 Dec 2026 (provisional)</t>
  </si>
  <si>
    <t xml:space="preserve">Unpaid work management information</t>
  </si>
  <si>
    <t xml:space="preserve">Thu 05 Nov 2026 (confirmed)</t>
  </si>
  <si>
    <t xml:space="preserve">Women and the Criminal Justice System</t>
  </si>
  <si>
    <t xml:space="preserve">Youth justice statistics</t>
  </si>
  <si>
    <t xml:space="preserve">Jan </t>
  </si>
  <si>
    <t xml:space="preserve">MoJ Statistics Publications Information</t>
  </si>
  <si>
    <t xml:space="preserve">This list contains information about all regular MoJ Official Statistics publications.</t>
  </si>
  <si>
    <t xml:space="preserve">URL</t>
  </si>
  <si>
    <t xml:space="preserve">Lead contact</t>
  </si>
  <si>
    <t xml:space="preserve">Grade 6</t>
  </si>
  <si>
    <t xml:space="preserve">Grade 7</t>
  </si>
  <si>
    <t xml:space="preserve">Justice Data</t>
  </si>
  <si>
    <t xml:space="preserve">Mailbox</t>
  </si>
  <si>
    <t xml:space="preserve">Matteo Chiesa</t>
  </si>
  <si>
    <t xml:space="preserve">Carly Gray</t>
  </si>
  <si>
    <t xml:space="preserve">Laura Davis</t>
  </si>
  <si>
    <t xml:space="preserve">Yes</t>
  </si>
  <si>
    <t xml:space="preserve">cajs@justice.gov.uk</t>
  </si>
  <si>
    <t xml:space="preserve">Henry Goldsack/John Alexander</t>
  </si>
  <si>
    <t xml:space="preserve">Ed Rowland</t>
  </si>
  <si>
    <t xml:space="preserve">Anne Kelleher</t>
  </si>
  <si>
    <t xml:space="preserve">communityperformanceenquiries@justice.gov.uk</t>
  </si>
  <si>
    <t xml:space="preserve">No</t>
  </si>
  <si>
    <t xml:space="preserve">CAJS@justice.gov.uk</t>
  </si>
  <si>
    <t xml:space="preserve">Benjamin Rudling</t>
  </si>
  <si>
    <t xml:space="preserve">David Wall</t>
  </si>
  <si>
    <t xml:space="preserve">criminal_court_sta@justice.gov.uk</t>
  </si>
  <si>
    <t xml:space="preserve">Fazeen Khamkar</t>
  </si>
  <si>
    <t xml:space="preserve">CJS_Statistics@justice.gov.uk</t>
  </si>
  <si>
    <t xml:space="preserve">Andrea Solomou</t>
  </si>
  <si>
    <t xml:space="preserve">Liz Whiting</t>
  </si>
  <si>
    <t xml:space="preserve">probation-statistics-enquiries@justice.gov.uk</t>
  </si>
  <si>
    <t xml:space="preserve">Wincen Lowe</t>
  </si>
  <si>
    <t xml:space="preserve">Rita Kumi-Ampofo </t>
  </si>
  <si>
    <t xml:space="preserve">judicial.statistics@justice.gov.uk</t>
  </si>
  <si>
    <t xml:space="preserve">Anna Hollywood</t>
  </si>
  <si>
    <t xml:space="preserve">Tara Rose</t>
  </si>
  <si>
    <t xml:space="preserve">ppas_statistics@justice.gov.uk</t>
  </si>
  <si>
    <t xml:space="preserve">Sarah Steadman</t>
  </si>
  <si>
    <t xml:space="preserve">familycourt.statistics@justice.gov.uk</t>
  </si>
  <si>
    <t xml:space="preserve">Sasha King</t>
  </si>
  <si>
    <t xml:space="preserve">Michael Williams</t>
  </si>
  <si>
    <t xml:space="preserve">MOJPNCteam@justice.gov.uk</t>
  </si>
  <si>
    <t xml:space="preserve">Kate Kandasamy</t>
  </si>
  <si>
    <t xml:space="preserve">Andrew Wilson (David Dawson for escapes, rMDT, finds and protesting behaviour chapters)</t>
  </si>
  <si>
    <t xml:space="preserve">Danielle House (Arun Mehan for escapes, rMDT, finds and protesting behaviour chapters)</t>
  </si>
  <si>
    <t xml:space="preserve">SUEPer_Stats@justice.gov.uk</t>
  </si>
  <si>
    <t xml:space="preserve">Danielle House</t>
  </si>
  <si>
    <t xml:space="preserve">Andrew Wilson</t>
  </si>
  <si>
    <t xml:space="preserve">sueper_stats@justice.gov.uk</t>
  </si>
  <si>
    <t xml:space="preserve">Robert Hartley</t>
  </si>
  <si>
    <t xml:space="preserve">Annie Sorbie </t>
  </si>
  <si>
    <t xml:space="preserve">Lisa Robinson</t>
  </si>
  <si>
    <t xml:space="preserve">Annie Sorbie</t>
  </si>
  <si>
    <t xml:space="preserve">Justice.datalab@justice.gov.uk</t>
  </si>
  <si>
    <t xml:space="preserve">Ayan Issa</t>
  </si>
  <si>
    <t xml:space="preserve">Mark Edwardes </t>
  </si>
  <si>
    <t xml:space="preserve">Mark Edwardes</t>
  </si>
  <si>
    <t xml:space="preserve">statistics@justice.gov.uk</t>
  </si>
  <si>
    <t xml:space="preserve">James Falkner</t>
  </si>
  <si>
    <t xml:space="preserve">Eric Nyame </t>
  </si>
  <si>
    <t xml:space="preserve">mappa@justice.gov.uk</t>
  </si>
  <si>
    <t xml:space="preserve">Tania Lee</t>
  </si>
  <si>
    <t xml:space="preserve">Ed Stradling</t>
  </si>
  <si>
    <t xml:space="preserve">CrossCuttingPerformanceEnquiries@justice.gov.uk</t>
  </si>
  <si>
    <t xml:space="preserve">Daniel Hawksworth (prison population &amp; adjudications)
Abi Kirkby (prisoner flows)
Eric Nyame (recalls)
Andrea Solomou (probation)</t>
  </si>
  <si>
    <t xml:space="preserve">David Dawson (prison population, releases, receptions and adjudications), Liz Whiting (probation)</t>
  </si>
  <si>
    <t xml:space="preserve">Daniel Hawksworth (prison population &amp; adjudications)
Abi Kirkby (prisoner flows)
Andrea Solomou (probation)</t>
  </si>
  <si>
    <t xml:space="preserve">OMSQ-SiC-publications@justice.gov.uk</t>
  </si>
  <si>
    <t xml:space="preserve">Aamir Ramzan</t>
  </si>
  <si>
    <t xml:space="preserve">Julie Sullivan</t>
  </si>
  <si>
    <t xml:space="preserve">CustodialPerformance.Enquiries@justice.gov.uk</t>
  </si>
  <si>
    <t xml:space="preserve">Jamie Symon</t>
  </si>
  <si>
    <t xml:space="preserve">Matt Heeks</t>
  </si>
  <si>
    <t xml:space="preserve">PrisonProjection.Statistics@justice.gov.uk</t>
  </si>
  <si>
    <t xml:space="preserve">Rebecca Manning</t>
  </si>
  <si>
    <t xml:space="preserve">reoffendingstatistics@justice.gov.uk</t>
  </si>
  <si>
    <t xml:space="preserve">MHCSMailbox@justice.gov.uk</t>
  </si>
  <si>
    <t xml:space="preserve">Allan Cox</t>
  </si>
  <si>
    <t xml:space="preserve">David Dawson</t>
  </si>
  <si>
    <t xml:space="preserve">Arun Mehan</t>
  </si>
  <si>
    <t xml:space="preserve">Louisa Hutton-Adams</t>
  </si>
  <si>
    <t xml:space="preserve">Jamie Newton</t>
  </si>
  <si>
    <t xml:space="preserve">YCSInformationAndPerformance@justice.gov.uk</t>
  </si>
  <si>
    <t xml:space="preserve">SFO@justice.gov.uk</t>
  </si>
  <si>
    <t xml:space="preserve">Maria Ionescu</t>
  </si>
  <si>
    <t xml:space="preserve">crosscuttingperformanceenquiries@justice.gov.uk</t>
  </si>
  <si>
    <t xml:space="preserve">Rhian Manley </t>
  </si>
  <si>
    <t xml:space="preserve">Hannah Collyer</t>
  </si>
  <si>
    <t xml:space="preserve">Rhian Manley</t>
  </si>
  <si>
    <t xml:space="preserve">statistics@yjb.gov.uk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</si>
</sst>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9"/>
      <color rgb="FF000000"/>
      <name val="Arial"/>
    </font>
    <font>
      <sz val="10"/>
      <color rgb="FFFFFFFF"/>
      <name val="Arial"/>
      <b/>
    </font>
    <font>
      <sz val="16"/>
      <color rgb="FF000000"/>
      <name val="Arial"/>
      <b/>
    </font>
    <font>
      <sz val="12"/>
      <color rgb="FF000000"/>
      <name val="Arial"/>
    </font>
    <font>
      <sz val="12"/>
      <color theme="10"/>
      <name val="Arial"/>
      <u val="single"/>
    </font>
    <font>
      <sz val="12"/>
      <color rgb="FF000000"/>
      <name val="Arial"/>
      <b/>
    </font>
    <font>
      <sz val="9"/>
      <color rgb="FF000000"/>
      <name val="Arial"/>
      <b/>
    </font>
    <font>
      <sz val="9"/>
      <color rgb="FF0563C1"/>
      <name val="Arial"/>
      <u val="single"/>
    </font>
    <font>
      <sz val="9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1D609D"/>
      </patternFill>
    </fill>
  </fills>
  <borders count="3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/>
    <xf numFmtId="0" fontId="0" fillId="0" borderId="0" xfId="0" applyFont="1" applyAlignment="1">
      <alignment horizontal="left" vertical="center"/>
    </xf>
    <xf numFmtId="0" fontId="0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0" xfId="0" applyFont="1"/>
    <xf numFmtId="0" fontId="8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8">
    <dxf>
      <font>
        <sz val="9"/>
        <color rgb="FF000000"/>
        <name val="Arial"/>
      </font>
      <border>
        <top style="thin">
          <color rgb="FF000000"/>
        </top>
      </border>
    </dxf>
    <dxf>
      <font>
        <sz val="9"/>
        <color rgb="FF000000"/>
        <name val="Arial"/>
      </font>
      <border>
        <left style="thin">
          <color rgb="FF000000"/>
        </left>
      </border>
    </dxf>
    <dxf>
      <font>
        <sz val="10"/>
        <color rgb="FF000000"/>
        <name val="Arial"/>
        <b/>
      </font>
      <fill>
        <patternFill patternType="solid">
          <bgColor rgb="FFD9D9D9"/>
        </patternFill>
      </fill>
    </dxf>
    <dxf>
      <font>
        <sz val="9"/>
        <color rgb="FF000000"/>
        <name val="Arial"/>
        <b/>
      </font>
    </dxf>
    <dxf>
      <font>
        <sz val="9"/>
        <color rgb="FFFFFFFF"/>
        <name val="Arial"/>
      </font>
      <fill>
        <patternFill patternType="solid">
          <bgColor rgb="FFFFFFFF"/>
        </patternFill>
      </fill>
    </dxf>
    <dxf>
      <font>
        <sz val="9"/>
        <color rgb="FF006100"/>
        <name val="Arial"/>
      </font>
      <fill>
        <patternFill patternType="solid">
          <bgColor rgb="FFC6EFCE"/>
        </patternFill>
      </fill>
    </dxf>
    <dxf>
      <font>
        <sz val="9"/>
        <color rgb="FF9C5700"/>
        <name val="Arial"/>
      </font>
      <fill>
        <patternFill patternType="solid">
          <bgColor rgb="FFFFEB9C"/>
        </patternFill>
      </fill>
    </dxf>
    <dxf>
      <font>
        <sz val="9"/>
        <color rgb="FF9C0006"/>
        <name val="Arial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gov.uk/search/research-and-statistics?content_store_document_type=upcoming_statistics&amp;organisations%5B%5D=ministry-of-justice&amp;order=release-date-oldest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www.gov.uk/search/research-and-statistics?content_store_document_type=upcoming_statistics&amp;organisations%5B%5D=ministry-of-justice&amp;order=release-date-oldest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5.71" hidden="0" customWidth="1"/>
    <col min="2" max="2" width="80.71" hidden="0" customWidth="1"/>
    <col min="3" max="3" width="25.71" hidden="0" customWidth="1"/>
    <col min="4" max="4" width="15.71" hidden="0" customWidth="1"/>
    <col min="5" max="5" width="25.71" hidden="0" customWidth="1"/>
    <col min="6" max="6" width="10.71" hidden="1" customWidth="1"/>
    <col min="7" max="7" width="30.71" hidden="1" customWidth="1"/>
    <col min="8" max="8" width="30.71" hidden="0" customWidth="1"/>
    <col min="9" max="9" width="25.71" hidden="0" customWidth="1"/>
    <col min="10" max="10" width="80.71" hidden="0" customWidth="1"/>
    <col min="11" max="11" width="25.71" hidden="0" customWidth="1"/>
    <col min="12" max="12" width="15.71" hidden="0" customWidth="1"/>
  </cols>
  <sheetData>
    <row r="1">
      <c r="A1" s="2" t="s">
        <v>0</v>
      </c>
    </row>
    <row r="2">
      <c r="A2" s="3" t="s">
        <v>1</v>
      </c>
    </row>
    <row r="3" ht="30" customHeight="1">
      <c r="A3" s="4" t="s">
        <v>2</v>
      </c>
    </row>
    <row r="4">
      <c r="A4" s="5" t="s">
        <v>3</v>
      </c>
    </row>
    <row r="6" ht="20" customHeight="1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</row>
    <row r="7" ht="20" customHeight="1">
      <c r="A7" s="6" t="s">
        <v>12</v>
      </c>
      <c r="B7" s="6"/>
      <c r="C7" s="6"/>
      <c r="D7" s="6"/>
      <c r="E7" s="6"/>
      <c r="F7" s="6"/>
      <c r="G7" s="6"/>
      <c r="H7" s="6"/>
      <c r="I7" s="7"/>
    </row>
    <row r="8" ht="20" customHeight="1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6" t="n">
        <v>17</v>
      </c>
      <c r="G8" s="6" t="s">
        <v>18</v>
      </c>
      <c r="H8" s="6" t="s">
        <v>19</v>
      </c>
      <c r="I8" s="7"/>
    </row>
    <row r="9" ht="20" customHeight="1">
      <c r="A9" s="6" t="s">
        <v>13</v>
      </c>
      <c r="B9" s="6" t="s">
        <v>20</v>
      </c>
      <c r="C9" s="6" t="s">
        <v>15</v>
      </c>
      <c r="D9" s="6" t="s">
        <v>16</v>
      </c>
      <c r="E9" s="6" t="s">
        <v>17</v>
      </c>
      <c r="F9" s="6" t="n">
        <v>17</v>
      </c>
      <c r="G9" s="6" t="s">
        <v>18</v>
      </c>
      <c r="H9" s="6" t="s">
        <v>21</v>
      </c>
      <c r="I9" s="7"/>
    </row>
    <row r="10" ht="20" customHeight="1">
      <c r="A10" s="6" t="s">
        <v>13</v>
      </c>
      <c r="B10" s="6" t="s">
        <v>22</v>
      </c>
      <c r="C10" s="6" t="s">
        <v>15</v>
      </c>
      <c r="D10" s="6" t="s">
        <v>16</v>
      </c>
      <c r="E10" s="6" t="s">
        <v>17</v>
      </c>
      <c r="F10" s="6" t="n">
        <v>17</v>
      </c>
      <c r="G10" s="6" t="s">
        <v>18</v>
      </c>
      <c r="H10" s="6" t="s">
        <v>21</v>
      </c>
      <c r="I10" s="7"/>
    </row>
    <row r="11" ht="20" customHeight="1">
      <c r="A11" s="6" t="s">
        <v>13</v>
      </c>
      <c r="B11" s="6" t="s">
        <v>23</v>
      </c>
      <c r="C11" s="6" t="s">
        <v>15</v>
      </c>
      <c r="D11" s="6" t="s">
        <v>16</v>
      </c>
      <c r="E11" s="6" t="s">
        <v>17</v>
      </c>
      <c r="F11" s="6" t="n">
        <v>17</v>
      </c>
      <c r="G11" s="6" t="s">
        <v>18</v>
      </c>
      <c r="H11" s="6" t="s">
        <v>21</v>
      </c>
      <c r="I11" s="7"/>
    </row>
    <row r="12" ht="20" customHeight="1">
      <c r="A12" s="6" t="s">
        <v>13</v>
      </c>
      <c r="B12" s="6" t="s">
        <v>24</v>
      </c>
      <c r="C12" s="6" t="s">
        <v>15</v>
      </c>
      <c r="D12" s="6" t="s">
        <v>16</v>
      </c>
      <c r="E12" s="6" t="s">
        <v>17</v>
      </c>
      <c r="F12" s="6" t="n">
        <v>17</v>
      </c>
      <c r="G12" s="6" t="s">
        <v>18</v>
      </c>
      <c r="H12" s="6" t="s">
        <v>21</v>
      </c>
      <c r="I12" s="7"/>
    </row>
    <row r="13" ht="20" customHeight="1">
      <c r="A13" s="6" t="s">
        <v>13</v>
      </c>
      <c r="B13" s="6" t="s">
        <v>25</v>
      </c>
      <c r="C13" s="6" t="s">
        <v>15</v>
      </c>
      <c r="D13" s="6" t="s">
        <v>16</v>
      </c>
      <c r="E13" s="6" t="s">
        <v>17</v>
      </c>
      <c r="F13" s="6" t="n">
        <v>17</v>
      </c>
      <c r="G13" s="6" t="s">
        <v>18</v>
      </c>
      <c r="H13" s="6" t="s">
        <v>21</v>
      </c>
      <c r="I13" s="7"/>
    </row>
    <row r="14" ht="20" customHeight="1">
      <c r="A14" s="6" t="s">
        <v>26</v>
      </c>
      <c r="B14" s="6"/>
      <c r="C14" s="6"/>
      <c r="D14" s="6"/>
      <c r="E14" s="6"/>
      <c r="F14" s="6"/>
      <c r="G14" s="6"/>
      <c r="H14" s="6"/>
      <c r="I14" s="7"/>
    </row>
    <row r="15" ht="20" customHeight="1">
      <c r="A15" s="6" t="s">
        <v>27</v>
      </c>
      <c r="B15" s="6"/>
      <c r="C15" s="6"/>
      <c r="D15" s="6"/>
      <c r="E15" s="6"/>
      <c r="F15" s="6" t="n">
        <v>18</v>
      </c>
      <c r="G15" s="6"/>
      <c r="H15" s="6"/>
      <c r="I15" s="7"/>
    </row>
    <row r="16" ht="20" customHeight="1">
      <c r="A16" s="6" t="s">
        <v>28</v>
      </c>
      <c r="B16" s="6" t="s">
        <v>29</v>
      </c>
      <c r="C16" s="6" t="s">
        <v>30</v>
      </c>
      <c r="D16" s="6" t="s">
        <v>16</v>
      </c>
      <c r="E16" s="6" t="s">
        <v>31</v>
      </c>
      <c r="F16" s="6" t="n">
        <v>19</v>
      </c>
      <c r="G16" s="6" t="s">
        <v>18</v>
      </c>
      <c r="H16" s="6" t="s">
        <v>32</v>
      </c>
      <c r="I16" s="7"/>
    </row>
    <row r="17" ht="20" customHeight="1">
      <c r="A17" s="6" t="s">
        <v>28</v>
      </c>
      <c r="B17" s="6" t="s">
        <v>33</v>
      </c>
      <c r="C17" s="6" t="s">
        <v>30</v>
      </c>
      <c r="D17" s="6" t="s">
        <v>16</v>
      </c>
      <c r="E17" s="6" t="s">
        <v>31</v>
      </c>
      <c r="F17" s="6" t="n">
        <v>19</v>
      </c>
      <c r="G17" s="6" t="s">
        <v>18</v>
      </c>
      <c r="H17" s="6" t="s">
        <v>34</v>
      </c>
      <c r="I17" s="7"/>
    </row>
    <row r="18" ht="20" customHeight="1">
      <c r="A18" s="6" t="s">
        <v>35</v>
      </c>
      <c r="B18" s="6" t="s">
        <v>36</v>
      </c>
      <c r="C18" s="6" t="s">
        <v>37</v>
      </c>
      <c r="D18" s="6" t="s">
        <v>16</v>
      </c>
      <c r="E18" s="6" t="s">
        <v>38</v>
      </c>
      <c r="F18" s="6" t="n">
        <v>20</v>
      </c>
      <c r="G18" s="6" t="s">
        <v>18</v>
      </c>
      <c r="H18" s="6" t="s">
        <v>19</v>
      </c>
      <c r="I18" s="7"/>
    </row>
    <row r="19" ht="20" customHeight="1">
      <c r="A19" s="6" t="s">
        <v>35</v>
      </c>
      <c r="B19" s="6" t="s">
        <v>39</v>
      </c>
      <c r="C19" s="6" t="s">
        <v>37</v>
      </c>
      <c r="D19" s="6" t="s">
        <v>16</v>
      </c>
      <c r="E19" s="6" t="s">
        <v>38</v>
      </c>
      <c r="F19" s="6" t="n">
        <v>20</v>
      </c>
      <c r="G19" s="6" t="s">
        <v>18</v>
      </c>
      <c r="H19" s="6" t="s">
        <v>19</v>
      </c>
      <c r="I19" s="7"/>
    </row>
    <row r="20" ht="20" customHeight="1">
      <c r="A20" s="6" t="s">
        <v>35</v>
      </c>
      <c r="B20" s="6" t="s">
        <v>40</v>
      </c>
      <c r="C20" s="6" t="s">
        <v>37</v>
      </c>
      <c r="D20" s="6" t="s">
        <v>16</v>
      </c>
      <c r="E20" s="6" t="s">
        <v>38</v>
      </c>
      <c r="F20" s="6" t="n">
        <v>20</v>
      </c>
      <c r="G20" s="6" t="s">
        <v>18</v>
      </c>
      <c r="H20" s="6"/>
      <c r="I20" s="7"/>
    </row>
    <row r="21" ht="20" customHeight="1">
      <c r="A21" s="6" t="s">
        <v>35</v>
      </c>
      <c r="B21" s="6" t="s">
        <v>41</v>
      </c>
      <c r="C21" s="6" t="s">
        <v>37</v>
      </c>
      <c r="D21" s="6" t="s">
        <v>16</v>
      </c>
      <c r="E21" s="6" t="s">
        <v>38</v>
      </c>
      <c r="F21" s="6" t="n">
        <v>20</v>
      </c>
      <c r="G21" s="6" t="s">
        <v>18</v>
      </c>
      <c r="H21" s="6" t="s">
        <v>42</v>
      </c>
      <c r="I21" s="7"/>
    </row>
    <row r="22" ht="20" customHeight="1">
      <c r="A22" s="6" t="s">
        <v>43</v>
      </c>
      <c r="B22" s="6"/>
      <c r="C22" s="6"/>
      <c r="D22" s="6"/>
      <c r="E22" s="6"/>
      <c r="F22" s="6" t="n">
        <v>21</v>
      </c>
      <c r="G22" s="6"/>
      <c r="H22" s="6"/>
      <c r="I22" s="7"/>
    </row>
    <row r="23" ht="20" customHeight="1">
      <c r="A23" s="6" t="s">
        <v>44</v>
      </c>
      <c r="B23" s="6"/>
      <c r="C23" s="6"/>
      <c r="D23" s="6"/>
      <c r="E23" s="6"/>
      <c r="F23" s="6"/>
      <c r="G23" s="6"/>
      <c r="H23" s="6"/>
      <c r="I23" s="7"/>
    </row>
    <row r="24" ht="20" customHeight="1">
      <c r="A24" s="6" t="s">
        <v>45</v>
      </c>
      <c r="B24" s="6" t="s">
        <v>46</v>
      </c>
      <c r="C24" s="6" t="s">
        <v>47</v>
      </c>
      <c r="D24" s="6" t="s">
        <v>48</v>
      </c>
      <c r="E24" s="6" t="s">
        <v>49</v>
      </c>
      <c r="F24" s="6" t="n">
        <v>22</v>
      </c>
      <c r="G24" s="6" t="s">
        <v>18</v>
      </c>
      <c r="H24" s="6" t="s">
        <v>50</v>
      </c>
      <c r="I24" s="7"/>
    </row>
    <row r="25" ht="20" customHeight="1">
      <c r="A25" s="6" t="s">
        <v>51</v>
      </c>
      <c r="B25" s="6" t="s">
        <v>52</v>
      </c>
      <c r="C25" s="6" t="s">
        <v>53</v>
      </c>
      <c r="D25" s="6" t="s">
        <v>48</v>
      </c>
      <c r="E25" s="6" t="s">
        <v>30</v>
      </c>
      <c r="F25" s="6" t="n">
        <v>23</v>
      </c>
      <c r="G25" s="6" t="s">
        <v>18</v>
      </c>
      <c r="H25" s="6" t="s">
        <v>50</v>
      </c>
      <c r="I25" s="7"/>
    </row>
    <row r="26" ht="20" customHeight="1">
      <c r="A26" s="6" t="s">
        <v>54</v>
      </c>
      <c r="B26" s="6"/>
      <c r="C26" s="6"/>
      <c r="D26" s="6"/>
      <c r="E26" s="6"/>
      <c r="F26" s="6" t="n">
        <v>24</v>
      </c>
      <c r="G26" s="6"/>
      <c r="H26" s="6"/>
      <c r="I26" s="7"/>
    </row>
    <row r="27" ht="20" customHeight="1">
      <c r="A27" s="6" t="s">
        <v>55</v>
      </c>
      <c r="B27" s="6" t="s">
        <v>56</v>
      </c>
      <c r="C27" s="6" t="s">
        <v>57</v>
      </c>
      <c r="D27" s="6" t="s">
        <v>16</v>
      </c>
      <c r="E27" s="6" t="s">
        <v>58</v>
      </c>
      <c r="F27" s="6" t="n">
        <v>25</v>
      </c>
      <c r="G27" s="6" t="s">
        <v>18</v>
      </c>
      <c r="H27" s="6" t="s">
        <v>50</v>
      </c>
      <c r="I27" s="7"/>
    </row>
    <row r="28" ht="20" customHeight="1">
      <c r="A28" s="6" t="s">
        <v>55</v>
      </c>
      <c r="B28" s="6" t="s">
        <v>59</v>
      </c>
      <c r="C28" s="6" t="s">
        <v>57</v>
      </c>
      <c r="D28" s="6" t="s">
        <v>16</v>
      </c>
      <c r="E28" s="6" t="s">
        <v>58</v>
      </c>
      <c r="F28" s="6" t="n">
        <v>25</v>
      </c>
      <c r="G28" s="6" t="s">
        <v>18</v>
      </c>
      <c r="H28" s="6" t="s">
        <v>50</v>
      </c>
      <c r="I28" s="7"/>
    </row>
    <row r="29" ht="20" customHeight="1">
      <c r="A29" s="6" t="s">
        <v>55</v>
      </c>
      <c r="B29" s="6" t="s">
        <v>60</v>
      </c>
      <c r="C29" s="6" t="s">
        <v>57</v>
      </c>
      <c r="D29" s="6" t="s">
        <v>48</v>
      </c>
      <c r="E29" s="6" t="s">
        <v>58</v>
      </c>
      <c r="F29" s="6" t="n">
        <v>25</v>
      </c>
      <c r="G29" s="6" t="s">
        <v>18</v>
      </c>
      <c r="H29" s="6" t="s">
        <v>50</v>
      </c>
      <c r="I29" s="7"/>
    </row>
    <row r="30" ht="20" customHeight="1">
      <c r="A30" s="6" t="s">
        <v>61</v>
      </c>
      <c r="B30" s="6"/>
      <c r="C30" s="6"/>
      <c r="D30" s="6"/>
      <c r="E30" s="6"/>
      <c r="F30" s="6" t="n">
        <v>26</v>
      </c>
      <c r="G30" s="6"/>
      <c r="H30" s="6"/>
      <c r="I30" s="7"/>
    </row>
    <row r="31" ht="20" customHeight="1">
      <c r="A31" s="6" t="s">
        <v>62</v>
      </c>
      <c r="B31" s="6"/>
      <c r="C31" s="6"/>
      <c r="D31" s="6"/>
      <c r="E31" s="6"/>
      <c r="F31" s="6"/>
      <c r="G31" s="6"/>
      <c r="H31" s="6"/>
      <c r="I31" s="7"/>
    </row>
    <row r="32" ht="20" customHeight="1">
      <c r="A32" s="6" t="s">
        <v>63</v>
      </c>
      <c r="B32" s="6" t="s">
        <v>64</v>
      </c>
      <c r="C32" s="6" t="s">
        <v>65</v>
      </c>
      <c r="D32" s="6" t="s">
        <v>48</v>
      </c>
      <c r="E32" s="6" t="s">
        <v>53</v>
      </c>
      <c r="F32" s="6" t="n">
        <v>27</v>
      </c>
      <c r="G32" s="6" t="s">
        <v>18</v>
      </c>
      <c r="H32" s="6" t="s">
        <v>66</v>
      </c>
      <c r="I32" s="7"/>
    </row>
    <row r="33" ht="20" customHeight="1">
      <c r="A33" s="6" t="s">
        <v>67</v>
      </c>
      <c r="B33" s="6"/>
      <c r="C33" s="6"/>
      <c r="D33" s="6"/>
      <c r="E33" s="6"/>
      <c r="F33" s="6" t="n">
        <v>28</v>
      </c>
      <c r="G33" s="6"/>
      <c r="H33" s="6"/>
      <c r="I33" s="7"/>
    </row>
    <row r="34" ht="20" customHeight="1">
      <c r="A34" s="6" t="s">
        <v>68</v>
      </c>
      <c r="B34" s="6"/>
      <c r="C34" s="6"/>
      <c r="D34" s="6"/>
      <c r="E34" s="6"/>
      <c r="F34" s="6" t="n">
        <v>29</v>
      </c>
      <c r="G34" s="6"/>
      <c r="H34" s="6"/>
      <c r="I34" s="7"/>
    </row>
    <row r="35" ht="20" customHeight="1">
      <c r="A35" s="6" t="s">
        <v>69</v>
      </c>
      <c r="B35" s="6" t="s">
        <v>70</v>
      </c>
      <c r="C35" s="6" t="s">
        <v>71</v>
      </c>
      <c r="D35" s="6" t="s">
        <v>48</v>
      </c>
      <c r="E35" s="6" t="s">
        <v>72</v>
      </c>
      <c r="F35" s="6" t="n">
        <v>30</v>
      </c>
      <c r="G35" s="6" t="s">
        <v>18</v>
      </c>
      <c r="H35" s="6" t="s">
        <v>21</v>
      </c>
      <c r="I35" s="7"/>
    </row>
    <row r="36" ht="20" customHeight="1">
      <c r="A36" s="6" t="s">
        <v>69</v>
      </c>
      <c r="B36" s="6" t="s">
        <v>73</v>
      </c>
      <c r="C36" s="6" t="s">
        <v>71</v>
      </c>
      <c r="D36" s="6" t="s">
        <v>48</v>
      </c>
      <c r="E36" s="6" t="s">
        <v>72</v>
      </c>
      <c r="F36" s="6" t="n">
        <v>30</v>
      </c>
      <c r="G36" s="6" t="s">
        <v>18</v>
      </c>
      <c r="H36" s="6" t="s">
        <v>74</v>
      </c>
      <c r="I36" s="7"/>
    </row>
    <row r="37" ht="20" customHeight="1">
      <c r="A37" s="6" t="s">
        <v>69</v>
      </c>
      <c r="B37" s="6" t="s">
        <v>75</v>
      </c>
      <c r="C37" s="6" t="s">
        <v>76</v>
      </c>
      <c r="D37" s="6" t="s">
        <v>48</v>
      </c>
      <c r="E37" s="6" t="s">
        <v>77</v>
      </c>
      <c r="F37" s="6" t="n">
        <v>30</v>
      </c>
      <c r="G37" s="6" t="s">
        <v>18</v>
      </c>
      <c r="H37" s="6" t="s">
        <v>21</v>
      </c>
      <c r="I37" s="7"/>
    </row>
    <row r="38" ht="20" customHeight="1">
      <c r="A38" s="6" t="s">
        <v>69</v>
      </c>
      <c r="B38" s="6" t="s">
        <v>78</v>
      </c>
      <c r="C38" s="6" t="s">
        <v>76</v>
      </c>
      <c r="D38" s="6" t="s">
        <v>48</v>
      </c>
      <c r="E38" s="6" t="s">
        <v>77</v>
      </c>
      <c r="F38" s="6" t="n">
        <v>30</v>
      </c>
      <c r="G38" s="6" t="s">
        <v>18</v>
      </c>
      <c r="H38" s="6" t="s">
        <v>21</v>
      </c>
      <c r="I38" s="7"/>
    </row>
    <row r="39" ht="20" customHeight="1">
      <c r="A39" s="6" t="s">
        <v>69</v>
      </c>
      <c r="B39" s="6" t="s">
        <v>79</v>
      </c>
      <c r="C39" s="6" t="s">
        <v>76</v>
      </c>
      <c r="D39" s="6" t="s">
        <v>16</v>
      </c>
      <c r="E39" s="6" t="s">
        <v>77</v>
      </c>
      <c r="F39" s="6" t="n">
        <v>30</v>
      </c>
      <c r="G39" s="6" t="s">
        <v>18</v>
      </c>
      <c r="H39" s="6" t="s">
        <v>21</v>
      </c>
      <c r="I39" s="7"/>
    </row>
    <row r="40" ht="20" customHeight="1">
      <c r="A40" s="6" t="s">
        <v>69</v>
      </c>
      <c r="B40" s="6" t="s">
        <v>80</v>
      </c>
      <c r="C40" s="6" t="s">
        <v>76</v>
      </c>
      <c r="D40" s="6" t="s">
        <v>16</v>
      </c>
      <c r="E40" s="6" t="s">
        <v>77</v>
      </c>
      <c r="F40" s="6" t="n">
        <v>30</v>
      </c>
      <c r="G40" s="6" t="s">
        <v>18</v>
      </c>
      <c r="H40" s="6" t="s">
        <v>81</v>
      </c>
      <c r="I40" s="7"/>
    </row>
    <row r="41" ht="20" customHeight="1">
      <c r="A41" s="6" t="s">
        <v>69</v>
      </c>
      <c r="B41" s="6" t="s">
        <v>82</v>
      </c>
      <c r="C41" s="6" t="s">
        <v>76</v>
      </c>
      <c r="D41" s="6" t="s">
        <v>16</v>
      </c>
      <c r="E41" s="6" t="s">
        <v>77</v>
      </c>
      <c r="F41" s="6" t="n">
        <v>30</v>
      </c>
      <c r="G41" s="6" t="s">
        <v>18</v>
      </c>
      <c r="H41" s="6" t="s">
        <v>81</v>
      </c>
      <c r="I41" s="7"/>
    </row>
    <row r="42" ht="20" customHeight="1">
      <c r="A42" s="6" t="s">
        <v>69</v>
      </c>
      <c r="B42" s="6" t="s">
        <v>83</v>
      </c>
      <c r="C42" s="6" t="s">
        <v>76</v>
      </c>
      <c r="D42" s="6" t="s">
        <v>16</v>
      </c>
      <c r="E42" s="6" t="s">
        <v>77</v>
      </c>
      <c r="F42" s="6" t="n">
        <v>30</v>
      </c>
      <c r="G42" s="6" t="s">
        <v>18</v>
      </c>
      <c r="H42" s="6" t="s">
        <v>84</v>
      </c>
      <c r="I42" s="7"/>
    </row>
    <row r="43" ht="20" customHeight="1">
      <c r="A43" s="6" t="s">
        <v>69</v>
      </c>
      <c r="B43" s="6" t="s">
        <v>85</v>
      </c>
      <c r="C43" s="6" t="s">
        <v>76</v>
      </c>
      <c r="D43" s="6" t="s">
        <v>48</v>
      </c>
      <c r="E43" s="6" t="s">
        <v>77</v>
      </c>
      <c r="F43" s="6" t="n">
        <v>30</v>
      </c>
      <c r="G43" s="6" t="s">
        <v>18</v>
      </c>
      <c r="H43" s="6" t="s">
        <v>21</v>
      </c>
      <c r="I43" s="7"/>
    </row>
    <row r="44" ht="20" customHeight="1">
      <c r="A44" s="6" t="s">
        <v>69</v>
      </c>
      <c r="B44" s="6" t="s">
        <v>86</v>
      </c>
      <c r="C44" s="6" t="s">
        <v>76</v>
      </c>
      <c r="D44" s="6" t="s">
        <v>48</v>
      </c>
      <c r="E44" s="6" t="s">
        <v>77</v>
      </c>
      <c r="F44" s="6" t="n">
        <v>30</v>
      </c>
      <c r="G44" s="6" t="s">
        <v>18</v>
      </c>
      <c r="H44" s="6" t="s">
        <v>19</v>
      </c>
      <c r="I44" s="7"/>
    </row>
    <row r="45" ht="20" customHeight="1">
      <c r="A45" s="6" t="s">
        <v>69</v>
      </c>
      <c r="B45" s="6" t="s">
        <v>87</v>
      </c>
      <c r="C45" s="6" t="s">
        <v>76</v>
      </c>
      <c r="D45" s="6" t="s">
        <v>48</v>
      </c>
      <c r="E45" s="6" t="s">
        <v>77</v>
      </c>
      <c r="F45" s="6" t="n">
        <v>30</v>
      </c>
      <c r="G45" s="6" t="s">
        <v>18</v>
      </c>
      <c r="H45" s="6" t="s">
        <v>74</v>
      </c>
      <c r="I45" s="7"/>
    </row>
    <row r="46" ht="20" customHeight="1">
      <c r="A46" s="6" t="s">
        <v>88</v>
      </c>
      <c r="B46" s="6"/>
      <c r="C46" s="6"/>
      <c r="D46" s="6"/>
      <c r="E46" s="6"/>
      <c r="F46" s="6"/>
      <c r="G46" s="6"/>
      <c r="H46" s="6"/>
      <c r="I46" s="7"/>
    </row>
    <row r="47" ht="20" customHeight="1">
      <c r="A47" s="6" t="s">
        <v>89</v>
      </c>
      <c r="B47" s="6"/>
      <c r="C47" s="6"/>
      <c r="D47" s="6"/>
      <c r="E47" s="6"/>
      <c r="F47" s="6" t="n">
        <v>31</v>
      </c>
      <c r="G47" s="6"/>
      <c r="H47" s="6"/>
      <c r="I47" s="7"/>
    </row>
    <row r="48" ht="20" customHeight="1">
      <c r="A48" s="6" t="s">
        <v>90</v>
      </c>
      <c r="B48" s="6" t="s">
        <v>91</v>
      </c>
      <c r="C48" s="6" t="s">
        <v>92</v>
      </c>
      <c r="D48" s="6" t="s">
        <v>48</v>
      </c>
      <c r="E48" s="6" t="s">
        <v>93</v>
      </c>
      <c r="F48" s="6" t="n">
        <v>32</v>
      </c>
      <c r="G48" s="6" t="s">
        <v>18</v>
      </c>
      <c r="H48" s="6" t="s">
        <v>19</v>
      </c>
      <c r="I48" s="7"/>
    </row>
    <row r="49" ht="20" customHeight="1">
      <c r="A49" s="6" t="s">
        <v>94</v>
      </c>
      <c r="B49" s="6" t="s">
        <v>95</v>
      </c>
      <c r="C49" s="6" t="s">
        <v>96</v>
      </c>
      <c r="D49" s="6" t="s">
        <v>48</v>
      </c>
      <c r="E49" s="6" t="s">
        <v>97</v>
      </c>
      <c r="F49" s="6" t="n">
        <v>33</v>
      </c>
      <c r="G49" s="6" t="s">
        <v>18</v>
      </c>
      <c r="H49" s="6" t="s">
        <v>19</v>
      </c>
      <c r="I49" s="7"/>
    </row>
    <row r="50" ht="20" customHeight="1">
      <c r="A50" s="6" t="s">
        <v>94</v>
      </c>
      <c r="B50" s="6" t="s">
        <v>98</v>
      </c>
      <c r="C50" s="6" t="s">
        <v>96</v>
      </c>
      <c r="D50" s="6" t="s">
        <v>48</v>
      </c>
      <c r="E50" s="6" t="s">
        <v>97</v>
      </c>
      <c r="F50" s="6" t="n">
        <v>33</v>
      </c>
      <c r="G50" s="6" t="s">
        <v>18</v>
      </c>
      <c r="H50" s="6" t="s">
        <v>42</v>
      </c>
      <c r="I50" s="7"/>
    </row>
    <row r="51" ht="20" customHeight="1">
      <c r="A51" s="6" t="s">
        <v>99</v>
      </c>
      <c r="B51" s="6"/>
      <c r="C51" s="6"/>
      <c r="D51" s="6"/>
      <c r="E51" s="6"/>
      <c r="F51" s="6" t="n">
        <v>34</v>
      </c>
      <c r="G51" s="6"/>
      <c r="H51" s="6"/>
      <c r="I51" s="7"/>
    </row>
    <row r="52" ht="20" customHeight="1">
      <c r="A52" s="6" t="s">
        <v>100</v>
      </c>
      <c r="B52" s="6" t="s">
        <v>101</v>
      </c>
      <c r="C52" s="6" t="s">
        <v>102</v>
      </c>
      <c r="D52" s="6" t="s">
        <v>48</v>
      </c>
      <c r="E52" s="6" t="s">
        <v>103</v>
      </c>
      <c r="F52" s="6" t="n">
        <v>35</v>
      </c>
      <c r="G52" s="6" t="s">
        <v>18</v>
      </c>
      <c r="H52" s="6" t="s">
        <v>50</v>
      </c>
      <c r="I52" s="7"/>
    </row>
    <row r="53" ht="20" customHeight="1">
      <c r="A53" s="6" t="s">
        <v>104</v>
      </c>
      <c r="B53" s="6"/>
      <c r="C53" s="6"/>
      <c r="D53" s="6"/>
      <c r="E53" s="6"/>
      <c r="F53" s="6"/>
      <c r="G53" s="6"/>
      <c r="H53" s="6"/>
      <c r="I53" s="7"/>
    </row>
    <row r="54" ht="20" customHeight="1">
      <c r="A54" s="6" t="s">
        <v>105</v>
      </c>
      <c r="B54" s="6" t="s">
        <v>106</v>
      </c>
      <c r="C54" s="6" t="s">
        <v>107</v>
      </c>
      <c r="D54" s="6" t="s">
        <v>48</v>
      </c>
      <c r="E54" s="6" t="s">
        <v>92</v>
      </c>
      <c r="F54" s="6" t="n">
        <v>36</v>
      </c>
      <c r="G54" s="6" t="s">
        <v>18</v>
      </c>
      <c r="H54" s="6" t="s">
        <v>50</v>
      </c>
      <c r="I54" s="7"/>
    </row>
    <row r="55" ht="20" customHeight="1">
      <c r="A55" s="6" t="s">
        <v>108</v>
      </c>
      <c r="B55" s="6"/>
      <c r="C55" s="6"/>
      <c r="D55" s="6"/>
      <c r="E55" s="6"/>
      <c r="F55" s="6" t="n">
        <v>37</v>
      </c>
      <c r="G55" s="6"/>
      <c r="H55" s="6"/>
      <c r="I55" s="7"/>
    </row>
    <row r="56" ht="20" customHeight="1">
      <c r="A56" s="6" t="s">
        <v>109</v>
      </c>
      <c r="B56" s="6" t="s">
        <v>110</v>
      </c>
      <c r="C56" s="6" t="s">
        <v>111</v>
      </c>
      <c r="D56" s="6" t="s">
        <v>48</v>
      </c>
      <c r="E56" s="6" t="s">
        <v>112</v>
      </c>
      <c r="F56" s="6" t="n">
        <v>38</v>
      </c>
      <c r="G56" s="6" t="s">
        <v>18</v>
      </c>
      <c r="H56" s="6" t="s">
        <v>50</v>
      </c>
      <c r="I56" s="7"/>
    </row>
    <row r="57" ht="20" customHeight="1">
      <c r="A57" s="6" t="s">
        <v>109</v>
      </c>
      <c r="B57" s="6" t="s">
        <v>113</v>
      </c>
      <c r="C57" s="6" t="s">
        <v>111</v>
      </c>
      <c r="D57" s="6" t="s">
        <v>48</v>
      </c>
      <c r="E57" s="6" t="s">
        <v>112</v>
      </c>
      <c r="F57" s="6" t="n">
        <v>38</v>
      </c>
      <c r="G57" s="6" t="s">
        <v>18</v>
      </c>
      <c r="H57" s="6" t="s">
        <v>50</v>
      </c>
      <c r="I57" s="7"/>
    </row>
    <row r="58" ht="20" customHeight="1">
      <c r="A58" s="6" t="s">
        <v>114</v>
      </c>
      <c r="B58" s="6" t="s">
        <v>115</v>
      </c>
      <c r="C58" s="6" t="s">
        <v>116</v>
      </c>
      <c r="D58" s="6" t="s">
        <v>48</v>
      </c>
      <c r="E58" s="6" t="s">
        <v>117</v>
      </c>
      <c r="F58" s="6" t="n">
        <v>39</v>
      </c>
      <c r="G58" s="6" t="s">
        <v>18</v>
      </c>
      <c r="H58" s="6" t="s">
        <v>50</v>
      </c>
      <c r="I58" s="7"/>
    </row>
    <row r="59" ht="20" customHeight="1">
      <c r="A59" s="6" t="s">
        <v>118</v>
      </c>
      <c r="B59" s="6"/>
      <c r="C59" s="6"/>
      <c r="D59" s="6"/>
      <c r="E59" s="6"/>
      <c r="F59" s="6"/>
      <c r="G59" s="6"/>
      <c r="H59" s="6"/>
      <c r="I59" s="7"/>
    </row>
    <row r="60" ht="20" customHeight="1">
      <c r="A60" s="6" t="s">
        <v>119</v>
      </c>
      <c r="B60" s="6"/>
      <c r="C60" s="6"/>
      <c r="D60" s="6"/>
      <c r="E60" s="6"/>
      <c r="F60" s="6" t="n">
        <v>40</v>
      </c>
      <c r="G60" s="6"/>
      <c r="H60" s="6"/>
      <c r="I60" s="7"/>
    </row>
    <row r="61" ht="20" customHeight="1">
      <c r="A61" s="6" t="s">
        <v>120</v>
      </c>
      <c r="B61" s="6"/>
      <c r="C61" s="6"/>
      <c r="D61" s="6"/>
      <c r="E61" s="6"/>
      <c r="F61" s="6" t="n">
        <v>41</v>
      </c>
      <c r="G61" s="6"/>
      <c r="H61" s="6"/>
      <c r="I61" s="7"/>
    </row>
    <row r="62" ht="20" customHeight="1">
      <c r="A62" s="6" t="s">
        <v>121</v>
      </c>
      <c r="B62" s="6" t="s">
        <v>122</v>
      </c>
      <c r="C62" s="6" t="s">
        <v>123</v>
      </c>
      <c r="D62" s="6" t="s">
        <v>48</v>
      </c>
      <c r="E62" s="6" t="s">
        <v>111</v>
      </c>
      <c r="F62" s="6" t="n">
        <v>42</v>
      </c>
      <c r="G62" s="6" t="s">
        <v>18</v>
      </c>
      <c r="H62" s="6" t="s">
        <v>19</v>
      </c>
      <c r="I62" s="7"/>
    </row>
    <row r="63" ht="20" customHeight="1">
      <c r="A63" s="6" t="s">
        <v>124</v>
      </c>
      <c r="B63" s="6" t="s">
        <v>125</v>
      </c>
      <c r="C63" s="6" t="s">
        <v>126</v>
      </c>
      <c r="D63" s="6" t="s">
        <v>48</v>
      </c>
      <c r="E63" s="6" t="s">
        <v>127</v>
      </c>
      <c r="F63" s="6" t="n">
        <v>43</v>
      </c>
      <c r="G63" s="6" t="s">
        <v>18</v>
      </c>
      <c r="H63" s="6" t="s">
        <v>21</v>
      </c>
      <c r="I63" s="7"/>
    </row>
    <row r="64" ht="20" customHeight="1">
      <c r="A64" s="6" t="s">
        <v>124</v>
      </c>
      <c r="B64" s="6" t="s">
        <v>128</v>
      </c>
      <c r="C64" s="6" t="s">
        <v>129</v>
      </c>
      <c r="D64" s="6" t="s">
        <v>16</v>
      </c>
      <c r="E64" s="6" t="s">
        <v>130</v>
      </c>
      <c r="F64" s="6" t="n">
        <v>43</v>
      </c>
      <c r="G64" s="6" t="s">
        <v>18</v>
      </c>
      <c r="H64" s="6" t="s">
        <v>131</v>
      </c>
      <c r="I64" s="7"/>
    </row>
    <row r="65" ht="20" customHeight="1">
      <c r="A65" s="6" t="s">
        <v>124</v>
      </c>
      <c r="B65" s="6" t="s">
        <v>132</v>
      </c>
      <c r="C65" s="6" t="s">
        <v>129</v>
      </c>
      <c r="D65" s="6" t="s">
        <v>48</v>
      </c>
      <c r="E65" s="6" t="s">
        <v>130</v>
      </c>
      <c r="F65" s="6" t="n">
        <v>43</v>
      </c>
      <c r="G65" s="6" t="s">
        <v>18</v>
      </c>
      <c r="H65" s="6" t="s">
        <v>21</v>
      </c>
      <c r="I65" s="7"/>
    </row>
    <row r="66" ht="20" customHeight="1">
      <c r="A66" s="6" t="s">
        <v>124</v>
      </c>
      <c r="B66" s="6" t="s">
        <v>133</v>
      </c>
      <c r="C66" s="6" t="s">
        <v>129</v>
      </c>
      <c r="D66" s="6" t="s">
        <v>48</v>
      </c>
      <c r="E66" s="6" t="s">
        <v>130</v>
      </c>
      <c r="F66" s="6" t="n">
        <v>43</v>
      </c>
      <c r="G66" s="6" t="s">
        <v>18</v>
      </c>
      <c r="H66" s="6" t="s">
        <v>21</v>
      </c>
      <c r="I66" s="7"/>
    </row>
    <row r="67" ht="20" customHeight="1">
      <c r="A67" s="6" t="s">
        <v>124</v>
      </c>
      <c r="B67" s="6" t="s">
        <v>134</v>
      </c>
      <c r="C67" s="6" t="s">
        <v>129</v>
      </c>
      <c r="D67" s="6" t="s">
        <v>48</v>
      </c>
      <c r="E67" s="6" t="s">
        <v>130</v>
      </c>
      <c r="F67" s="6" t="n">
        <v>43</v>
      </c>
      <c r="G67" s="6" t="s">
        <v>18</v>
      </c>
      <c r="H67" s="6" t="s">
        <v>21</v>
      </c>
      <c r="I67" s="7"/>
    </row>
    <row r="68" ht="20" customHeight="1">
      <c r="A68" s="6" t="s">
        <v>124</v>
      </c>
      <c r="B68" s="6" t="s">
        <v>135</v>
      </c>
      <c r="C68" s="6" t="s">
        <v>129</v>
      </c>
      <c r="D68" s="6" t="s">
        <v>16</v>
      </c>
      <c r="E68" s="6" t="s">
        <v>130</v>
      </c>
      <c r="F68" s="6" t="n">
        <v>43</v>
      </c>
      <c r="G68" s="6" t="s">
        <v>18</v>
      </c>
      <c r="H68" s="6" t="s">
        <v>21</v>
      </c>
      <c r="I68" s="7"/>
    </row>
    <row r="69" ht="20" customHeight="1">
      <c r="A69" s="6" t="s">
        <v>136</v>
      </c>
      <c r="B69" s="6"/>
      <c r="C69" s="6"/>
      <c r="D69" s="6"/>
      <c r="E69" s="6"/>
      <c r="F69" s="6"/>
      <c r="G69" s="6"/>
      <c r="H69" s="6"/>
      <c r="I69" s="7"/>
    </row>
    <row r="70" ht="20" customHeight="1">
      <c r="A70" s="6" t="s">
        <v>137</v>
      </c>
      <c r="B70" s="6" t="s">
        <v>138</v>
      </c>
      <c r="C70" s="6" t="s">
        <v>139</v>
      </c>
      <c r="D70" s="6" t="s">
        <v>16</v>
      </c>
      <c r="E70" s="6" t="s">
        <v>140</v>
      </c>
      <c r="F70" s="6" t="n">
        <v>44</v>
      </c>
      <c r="G70" s="6" t="s">
        <v>18</v>
      </c>
      <c r="H70" s="6" t="s">
        <v>32</v>
      </c>
      <c r="I70" s="7"/>
    </row>
    <row r="71" ht="20" customHeight="1">
      <c r="A71" s="6" t="s">
        <v>141</v>
      </c>
      <c r="B71" s="6" t="s">
        <v>142</v>
      </c>
      <c r="C71" s="6" t="s">
        <v>143</v>
      </c>
      <c r="D71" s="6" t="s">
        <v>48</v>
      </c>
      <c r="E71" s="6" t="s">
        <v>144</v>
      </c>
      <c r="F71" s="6" t="n">
        <v>45</v>
      </c>
      <c r="G71" s="6" t="s">
        <v>18</v>
      </c>
      <c r="H71" s="6" t="s">
        <v>19</v>
      </c>
      <c r="I71" s="7"/>
    </row>
    <row r="72" ht="20" customHeight="1">
      <c r="A72" s="6" t="s">
        <v>145</v>
      </c>
      <c r="B72" s="6" t="s">
        <v>146</v>
      </c>
      <c r="C72" s="6" t="s">
        <v>147</v>
      </c>
      <c r="D72" s="6" t="s">
        <v>48</v>
      </c>
      <c r="E72" s="6" t="s">
        <v>123</v>
      </c>
      <c r="F72" s="6" t="n">
        <v>46</v>
      </c>
      <c r="G72" s="6" t="s">
        <v>18</v>
      </c>
      <c r="H72" s="6" t="s">
        <v>42</v>
      </c>
      <c r="I72" s="7"/>
    </row>
    <row r="73" ht="20" customHeight="1">
      <c r="A73" s="6" t="s">
        <v>145</v>
      </c>
      <c r="B73" s="6" t="s">
        <v>148</v>
      </c>
      <c r="C73" s="6" t="s">
        <v>147</v>
      </c>
      <c r="D73" s="6" t="s">
        <v>48</v>
      </c>
      <c r="E73" s="6" t="s">
        <v>123</v>
      </c>
      <c r="F73" s="6" t="n">
        <v>46</v>
      </c>
      <c r="G73" s="6" t="s">
        <v>18</v>
      </c>
      <c r="H73" s="6" t="s">
        <v>19</v>
      </c>
      <c r="I73" s="7"/>
    </row>
    <row r="74" ht="20" customHeight="1">
      <c r="A74" s="6" t="s">
        <v>149</v>
      </c>
      <c r="B74" s="6" t="s">
        <v>150</v>
      </c>
      <c r="C74" s="6" t="s">
        <v>151</v>
      </c>
      <c r="D74" s="6" t="s">
        <v>48</v>
      </c>
      <c r="E74" s="6" t="s">
        <v>129</v>
      </c>
      <c r="F74" s="6" t="n">
        <v>47</v>
      </c>
      <c r="G74" s="6" t="s">
        <v>18</v>
      </c>
      <c r="H74" s="6" t="s">
        <v>152</v>
      </c>
      <c r="I74" s="7"/>
    </row>
    <row r="75" ht="20" customHeight="1">
      <c r="A75" s="6" t="s">
        <v>149</v>
      </c>
      <c r="B75" s="6" t="s">
        <v>153</v>
      </c>
      <c r="C75" s="6" t="s">
        <v>151</v>
      </c>
      <c r="D75" s="6" t="s">
        <v>48</v>
      </c>
      <c r="E75" s="6" t="s">
        <v>129</v>
      </c>
      <c r="F75" s="6" t="n">
        <v>47</v>
      </c>
      <c r="G75" s="6" t="s">
        <v>18</v>
      </c>
      <c r="H75" s="6" t="s">
        <v>154</v>
      </c>
      <c r="I75" s="7"/>
    </row>
    <row r="76" ht="20" customHeight="1">
      <c r="A76" s="6" t="s">
        <v>155</v>
      </c>
      <c r="B76" s="6" t="s">
        <v>156</v>
      </c>
      <c r="C76" s="6" t="s">
        <v>155</v>
      </c>
      <c r="D76" s="6" t="s">
        <v>48</v>
      </c>
      <c r="E76" s="6" t="s">
        <v>137</v>
      </c>
      <c r="F76" s="6" t="n">
        <v>48</v>
      </c>
      <c r="G76" s="6" t="s">
        <v>18</v>
      </c>
      <c r="H76" s="6" t="s">
        <v>157</v>
      </c>
      <c r="I76" s="7"/>
    </row>
    <row r="77" ht="20" customHeight="1">
      <c r="A77" s="6" t="s">
        <v>155</v>
      </c>
      <c r="B77" s="6" t="s">
        <v>158</v>
      </c>
      <c r="C77" s="6" t="s">
        <v>159</v>
      </c>
      <c r="D77" s="6" t="s">
        <v>48</v>
      </c>
      <c r="E77" s="6" t="s">
        <v>139</v>
      </c>
      <c r="F77" s="6" t="n">
        <v>48</v>
      </c>
      <c r="G77" s="6" t="s">
        <v>18</v>
      </c>
      <c r="H77" s="6" t="s">
        <v>50</v>
      </c>
      <c r="I77" s="7"/>
    </row>
    <row r="78" ht="20" customHeight="1">
      <c r="A78" s="6" t="s">
        <v>160</v>
      </c>
      <c r="B78" s="6"/>
      <c r="C78" s="6"/>
      <c r="D78" s="6"/>
      <c r="E78" s="6"/>
      <c r="F78" s="6"/>
      <c r="G78" s="6"/>
      <c r="H78" s="6"/>
      <c r="I78" s="7"/>
    </row>
    <row r="79" ht="20" customHeight="1">
      <c r="A79" s="6" t="s">
        <v>161</v>
      </c>
      <c r="B79" s="6" t="s">
        <v>162</v>
      </c>
      <c r="C79" s="6" t="s">
        <v>163</v>
      </c>
      <c r="D79" s="6" t="s">
        <v>48</v>
      </c>
      <c r="E79" s="6" t="s">
        <v>143</v>
      </c>
      <c r="F79" s="6" t="n">
        <v>49</v>
      </c>
      <c r="G79" s="6" t="s">
        <v>18</v>
      </c>
      <c r="H79" s="6" t="s">
        <v>50</v>
      </c>
      <c r="I79" s="7"/>
    </row>
    <row r="80" ht="20" customHeight="1">
      <c r="A80" s="6" t="s">
        <v>164</v>
      </c>
      <c r="B80" s="6" t="s">
        <v>165</v>
      </c>
      <c r="C80" s="6" t="s">
        <v>166</v>
      </c>
      <c r="D80" s="6" t="s">
        <v>48</v>
      </c>
      <c r="E80" s="6" t="s">
        <v>147</v>
      </c>
      <c r="F80" s="6" t="n">
        <v>50</v>
      </c>
      <c r="G80" s="6" t="s">
        <v>18</v>
      </c>
      <c r="H80" s="6" t="s">
        <v>50</v>
      </c>
      <c r="I80" s="7"/>
    </row>
    <row r="81" ht="20" customHeight="1">
      <c r="A81" s="6" t="s">
        <v>164</v>
      </c>
      <c r="B81" s="6" t="s">
        <v>60</v>
      </c>
      <c r="C81" s="6" t="s">
        <v>166</v>
      </c>
      <c r="D81" s="6" t="s">
        <v>48</v>
      </c>
      <c r="E81" s="6" t="s">
        <v>147</v>
      </c>
      <c r="F81" s="6" t="n">
        <v>50</v>
      </c>
      <c r="G81" s="6" t="s">
        <v>18</v>
      </c>
      <c r="H81" s="6" t="s">
        <v>50</v>
      </c>
      <c r="I81" s="7"/>
    </row>
    <row r="82" ht="20" customHeight="1">
      <c r="A82" s="6" t="s">
        <v>167</v>
      </c>
      <c r="B82" s="6"/>
      <c r="C82" s="6"/>
      <c r="D82" s="6"/>
      <c r="E82" s="6"/>
      <c r="F82" s="6" t="n">
        <v>51</v>
      </c>
      <c r="G82" s="6"/>
      <c r="H82" s="6"/>
      <c r="I82" s="7"/>
    </row>
    <row r="83" ht="20" customHeight="1">
      <c r="A83" s="6" t="s">
        <v>168</v>
      </c>
      <c r="B83" s="6"/>
      <c r="C83" s="6"/>
      <c r="D83" s="6"/>
      <c r="E83" s="6"/>
      <c r="F83" s="6" t="n">
        <v>52</v>
      </c>
      <c r="G83" s="6"/>
      <c r="H83" s="6"/>
      <c r="I83" s="7"/>
    </row>
    <row r="84" ht="20" customHeight="1">
      <c r="A84" s="6" t="s">
        <v>169</v>
      </c>
      <c r="B84" s="6"/>
      <c r="C84" s="6"/>
      <c r="D84" s="6"/>
      <c r="E84" s="6"/>
      <c r="F84" s="6"/>
      <c r="G84" s="6"/>
      <c r="H84" s="6"/>
      <c r="I84" s="7"/>
    </row>
    <row r="85" ht="20" customHeight="1">
      <c r="A85" s="6" t="s">
        <v>170</v>
      </c>
      <c r="B85" s="6"/>
      <c r="C85" s="6"/>
      <c r="D85" s="6"/>
      <c r="E85" s="6"/>
      <c r="F85" s="6" t="n">
        <v>1</v>
      </c>
      <c r="G85" s="6"/>
      <c r="H85" s="6"/>
      <c r="I85" s="7"/>
    </row>
    <row r="86" ht="20" customHeight="1">
      <c r="A86" s="6" t="s">
        <v>171</v>
      </c>
      <c r="B86" s="6"/>
      <c r="C86" s="6"/>
      <c r="D86" s="6"/>
      <c r="E86" s="6"/>
      <c r="F86" s="6" t="n">
        <v>2</v>
      </c>
      <c r="G86" s="6"/>
      <c r="H86" s="6"/>
      <c r="I86" s="7"/>
    </row>
    <row r="87" ht="20" customHeight="1">
      <c r="A87" s="6" t="s">
        <v>172</v>
      </c>
      <c r="B87" s="6"/>
      <c r="C87" s="6"/>
      <c r="D87" s="6"/>
      <c r="E87" s="6"/>
      <c r="F87" s="6" t="n">
        <v>3</v>
      </c>
      <c r="G87" s="6"/>
      <c r="H87" s="6"/>
      <c r="I87" s="7"/>
    </row>
    <row r="88" ht="20" customHeight="1">
      <c r="A88" s="6" t="s">
        <v>173</v>
      </c>
      <c r="B88" s="6" t="s">
        <v>174</v>
      </c>
      <c r="C88" s="6" t="s">
        <v>175</v>
      </c>
      <c r="D88" s="6" t="s">
        <v>48</v>
      </c>
      <c r="E88" s="6" t="s">
        <v>176</v>
      </c>
      <c r="F88" s="6" t="n">
        <v>4</v>
      </c>
      <c r="G88" s="6" t="s">
        <v>18</v>
      </c>
      <c r="H88" s="6" t="s">
        <v>21</v>
      </c>
      <c r="I88" s="7"/>
    </row>
    <row r="89" ht="20" customHeight="1">
      <c r="A89" s="6" t="s">
        <v>173</v>
      </c>
      <c r="B89" s="6" t="s">
        <v>177</v>
      </c>
      <c r="C89" s="6" t="s">
        <v>175</v>
      </c>
      <c r="D89" s="6" t="s">
        <v>48</v>
      </c>
      <c r="E89" s="6" t="s">
        <v>176</v>
      </c>
      <c r="F89" s="6" t="n">
        <v>4</v>
      </c>
      <c r="G89" s="6" t="s">
        <v>18</v>
      </c>
      <c r="H89" s="6" t="s">
        <v>21</v>
      </c>
      <c r="I89" s="7"/>
    </row>
    <row r="90" ht="20" customHeight="1">
      <c r="A90" s="6" t="s">
        <v>173</v>
      </c>
      <c r="B90" s="6" t="s">
        <v>178</v>
      </c>
      <c r="C90" s="6" t="s">
        <v>175</v>
      </c>
      <c r="D90" s="6" t="s">
        <v>16</v>
      </c>
      <c r="E90" s="6" t="s">
        <v>176</v>
      </c>
      <c r="F90" s="6" t="n">
        <v>4</v>
      </c>
      <c r="G90" s="6" t="s">
        <v>18</v>
      </c>
      <c r="H90" s="6" t="s">
        <v>21</v>
      </c>
      <c r="I90" s="7"/>
    </row>
    <row r="91" ht="20" customHeight="1">
      <c r="A91" s="6" t="s">
        <v>173</v>
      </c>
      <c r="B91" s="6" t="s">
        <v>179</v>
      </c>
      <c r="C91" s="6" t="s">
        <v>180</v>
      </c>
      <c r="D91" s="6" t="s">
        <v>48</v>
      </c>
      <c r="E91" s="6" t="s">
        <v>181</v>
      </c>
      <c r="F91" s="6" t="n">
        <v>4</v>
      </c>
      <c r="G91" s="6" t="s">
        <v>18</v>
      </c>
      <c r="H91" s="6" t="s">
        <v>21</v>
      </c>
      <c r="I91" s="7"/>
    </row>
    <row r="92" ht="20" customHeight="1">
      <c r="A92" s="6" t="s">
        <v>173</v>
      </c>
      <c r="B92" s="6" t="s">
        <v>182</v>
      </c>
      <c r="C92" s="6" t="s">
        <v>175</v>
      </c>
      <c r="D92" s="6" t="s">
        <v>48</v>
      </c>
      <c r="E92" s="6" t="s">
        <v>176</v>
      </c>
      <c r="F92" s="6" t="n">
        <v>4</v>
      </c>
      <c r="G92" s="6" t="s">
        <v>18</v>
      </c>
      <c r="H92" s="6" t="s">
        <v>19</v>
      </c>
      <c r="I92" s="7"/>
    </row>
    <row r="93" ht="20" customHeight="1">
      <c r="A93" s="6" t="s">
        <v>173</v>
      </c>
      <c r="B93" s="6" t="s">
        <v>183</v>
      </c>
      <c r="C93" s="6" t="s">
        <v>175</v>
      </c>
      <c r="D93" s="6" t="s">
        <v>48</v>
      </c>
      <c r="E93" s="6" t="s">
        <v>176</v>
      </c>
      <c r="F93" s="6" t="n">
        <v>4</v>
      </c>
      <c r="G93" s="6" t="s">
        <v>18</v>
      </c>
      <c r="H93" s="6" t="s">
        <v>21</v>
      </c>
      <c r="I93" s="7"/>
    </row>
    <row r="94" ht="20" customHeight="1">
      <c r="A94" s="6" t="s">
        <v>184</v>
      </c>
      <c r="B94" s="6"/>
      <c r="C94" s="6"/>
      <c r="D94" s="6"/>
      <c r="E94" s="6"/>
      <c r="F94" s="6"/>
      <c r="G94" s="6"/>
      <c r="H94" s="6"/>
      <c r="I94" s="7"/>
    </row>
    <row r="95" ht="20" customHeight="1">
      <c r="A95" s="6" t="s">
        <v>185</v>
      </c>
      <c r="B95" s="6"/>
      <c r="C95" s="6"/>
      <c r="D95" s="6"/>
      <c r="E95" s="6"/>
      <c r="F95" s="6" t="n">
        <v>5</v>
      </c>
      <c r="G95" s="6"/>
      <c r="H95" s="6"/>
      <c r="I95" s="7"/>
    </row>
    <row r="96" ht="20" customHeight="1">
      <c r="A96" s="6" t="s">
        <v>186</v>
      </c>
      <c r="B96" s="6" t="s">
        <v>187</v>
      </c>
      <c r="C96" s="6" t="s">
        <v>188</v>
      </c>
      <c r="D96" s="6" t="s">
        <v>48</v>
      </c>
      <c r="E96" s="6" t="s">
        <v>189</v>
      </c>
      <c r="F96" s="6" t="n">
        <v>6</v>
      </c>
      <c r="G96" s="6" t="s">
        <v>18</v>
      </c>
      <c r="H96" s="6" t="s">
        <v>19</v>
      </c>
      <c r="I96" s="7"/>
    </row>
    <row r="97" ht="20" customHeight="1">
      <c r="A97" s="6" t="s">
        <v>190</v>
      </c>
      <c r="B97" s="6" t="s">
        <v>191</v>
      </c>
      <c r="C97" s="6" t="s">
        <v>192</v>
      </c>
      <c r="D97" s="6" t="s">
        <v>48</v>
      </c>
      <c r="E97" s="6" t="s">
        <v>193</v>
      </c>
      <c r="F97" s="6" t="n">
        <v>7</v>
      </c>
      <c r="G97" s="6" t="s">
        <v>18</v>
      </c>
      <c r="H97" s="6" t="s">
        <v>42</v>
      </c>
      <c r="I97" s="7"/>
    </row>
    <row r="98" ht="20" customHeight="1">
      <c r="A98" s="6" t="s">
        <v>194</v>
      </c>
      <c r="B98" s="6"/>
      <c r="C98" s="6"/>
      <c r="D98" s="6"/>
      <c r="E98" s="6"/>
      <c r="F98" s="6" t="n">
        <v>8</v>
      </c>
      <c r="G98" s="6"/>
      <c r="H98" s="6"/>
      <c r="I98" s="7"/>
    </row>
    <row r="99" ht="20" customHeight="1">
      <c r="A99" s="6" t="s">
        <v>195</v>
      </c>
      <c r="B99" s="6"/>
      <c r="C99" s="6"/>
      <c r="D99" s="6"/>
      <c r="E99" s="6"/>
      <c r="F99" s="6"/>
      <c r="G99" s="6"/>
      <c r="H99" s="6"/>
      <c r="I99" s="7"/>
    </row>
    <row r="100" ht="20" customHeight="1">
      <c r="A100" s="6" t="s">
        <v>196</v>
      </c>
      <c r="B100" s="6" t="s">
        <v>197</v>
      </c>
      <c r="C100" s="6" t="s">
        <v>198</v>
      </c>
      <c r="D100" s="6" t="s">
        <v>48</v>
      </c>
      <c r="E100" s="6" t="s">
        <v>199</v>
      </c>
      <c r="F100" s="6" t="n">
        <v>9</v>
      </c>
      <c r="G100" s="6" t="s">
        <v>18</v>
      </c>
      <c r="H100" s="6" t="s">
        <v>50</v>
      </c>
      <c r="I100" s="7"/>
    </row>
    <row r="101" ht="20" customHeight="1">
      <c r="A101" s="6" t="s">
        <v>200</v>
      </c>
      <c r="B101" s="6"/>
      <c r="C101" s="6"/>
      <c r="D101" s="6"/>
      <c r="E101" s="6"/>
      <c r="F101" s="6" t="n">
        <v>10</v>
      </c>
      <c r="G101" s="6"/>
      <c r="H101" s="6"/>
      <c r="I101" s="7"/>
    </row>
    <row r="102" ht="20" customHeight="1">
      <c r="A102" s="6" t="s">
        <v>201</v>
      </c>
      <c r="B102" s="6"/>
      <c r="C102" s="6"/>
      <c r="D102" s="6"/>
      <c r="E102" s="6"/>
      <c r="F102" s="6" t="n">
        <v>11</v>
      </c>
      <c r="G102" s="6"/>
      <c r="H102" s="6"/>
      <c r="I102" s="7"/>
    </row>
    <row r="103" ht="20" customHeight="1">
      <c r="A103" s="6" t="s">
        <v>202</v>
      </c>
      <c r="B103" s="6" t="s">
        <v>110</v>
      </c>
      <c r="C103" s="6" t="s">
        <v>203</v>
      </c>
      <c r="D103" s="6" t="s">
        <v>48</v>
      </c>
      <c r="E103" s="6" t="s">
        <v>204</v>
      </c>
      <c r="F103" s="6" t="n">
        <v>12</v>
      </c>
      <c r="G103" s="6" t="s">
        <v>18</v>
      </c>
      <c r="H103" s="6" t="s">
        <v>50</v>
      </c>
      <c r="I103" s="7"/>
    </row>
    <row r="104" ht="20" customHeight="1">
      <c r="A104" s="6" t="s">
        <v>205</v>
      </c>
      <c r="B104" s="6" t="s">
        <v>206</v>
      </c>
      <c r="C104" s="6" t="s">
        <v>207</v>
      </c>
      <c r="D104" s="6" t="s">
        <v>48</v>
      </c>
      <c r="E104" s="6" t="s">
        <v>208</v>
      </c>
      <c r="F104" s="6" t="n">
        <v>13</v>
      </c>
      <c r="G104" s="6" t="s">
        <v>18</v>
      </c>
      <c r="H104" s="6" t="s">
        <v>50</v>
      </c>
      <c r="I104" s="7"/>
    </row>
  </sheetData>
  <autoFilter ref="A6:G6"/>
  <conditionalFormatting sqref="A7:H105">
    <cfRule type="expression" dxfId="0" priority="9">
      <formula>=AND($A7&lt;&gt;$A6)</formula>
    </cfRule>
  </conditionalFormatting>
  <conditionalFormatting sqref="A7:I104">
    <cfRule type="expression" dxfId="1" priority="8">
      <formula>=LEFT($A7, 3)="MON"</formula>
    </cfRule>
  </conditionalFormatting>
  <conditionalFormatting sqref="A7:H104">
    <cfRule type="expression" dxfId="2" priority="7">
      <formula>=LEFT($A7,3)&lt;&gt;"MON"</formula>
    </cfRule>
  </conditionalFormatting>
  <conditionalFormatting sqref="B7:B104">
    <cfRule type="expression" dxfId="3" priority="6">
      <formula>=AND($B7&lt;&gt;"")</formula>
    </cfRule>
  </conditionalFormatting>
  <conditionalFormatting sqref="A7:A104">
    <cfRule type="expression" dxfId="4" priority="5">
      <formula>=AND(LEN($E7)&gt;0,MOD(RIGHT($E7,2),2)=0,$E7=$E6)</formula>
    </cfRule>
    <cfRule type="expression" dxfId="4" priority="4">
      <formula>=AND(LEN($E7)&gt;0,MOD(RIGHT($E7,2),2)=1,$E7=$E6)</formula>
    </cfRule>
  </conditionalFormatting>
  <conditionalFormatting sqref="D7:D104">
    <cfRule type="expression" dxfId="5" priority="3">
      <formula>=AND($D7="confirmed")</formula>
    </cfRule>
    <cfRule type="expression" dxfId="6" priority="2">
      <formula>=AND($D7="provisional")</formula>
    </cfRule>
    <cfRule type="expression" dxfId="7" priority="1">
      <formula>=AND($D7="cancelled")</formula>
    </cfRule>
  </conditionalFormatting>
  <hyperlinks>
    <hyperlink ref="A3" r:id="rId1h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xSplit="1" topLeftCell="B1" activePane="topRight" state="frozen"/>
    </sheetView>
  </sheetViews>
  <sheetFormatPr defaultRowHeight="15.0" baseColWidth="10"/>
  <cols>
    <col min="1" max="1" width="80.71" hidden="0" customWidth="1"/>
    <col min="2" max="2" width="30.71" hidden="0" customWidth="1"/>
    <col min="3" max="3" width="30.71" hidden="0" customWidth="1"/>
    <col min="4" max="4" width="30.71" hidden="0" customWidth="1"/>
    <col min="5" max="5" width="30.71" hidden="0" customWidth="1"/>
    <col min="6" max="6" width="30.71" hidden="0" customWidth="1"/>
    <col min="7" max="7" width="30.71" hidden="0" customWidth="1"/>
    <col min="8" max="8" width="30.71" hidden="0" customWidth="1"/>
    <col min="9" max="9" width="30.71" hidden="0" customWidth="1"/>
    <col min="10" max="10" width="30.71" hidden="0" customWidth="1"/>
    <col min="11" max="11" width="30.71" hidden="0" customWidth="1"/>
    <col min="12" max="12" width="30.71" hidden="0" customWidth="1"/>
    <col min="13" max="13" width="30.71" hidden="0" customWidth="1"/>
    <col min="14" max="14" width="30.71" hidden="0" customWidth="1"/>
  </cols>
  <sheetData>
    <row r="1">
      <c r="A1" s="2" t="s">
        <v>209</v>
      </c>
    </row>
    <row r="2">
      <c r="A2" s="3" t="s">
        <v>210</v>
      </c>
    </row>
    <row r="3" ht="30" customHeight="1">
      <c r="A3" s="4" t="s">
        <v>2</v>
      </c>
    </row>
    <row r="4">
      <c r="A4" s="5" t="s">
        <v>3</v>
      </c>
    </row>
    <row r="6" ht="30" customHeight="1">
      <c r="A6" s="10" t="s">
        <v>211</v>
      </c>
      <c r="B6" s="10" t="s">
        <v>11</v>
      </c>
      <c r="C6" s="8" t="s">
        <v>212</v>
      </c>
      <c r="D6" s="8" t="s">
        <v>26</v>
      </c>
      <c r="E6" s="8" t="s">
        <v>213</v>
      </c>
      <c r="F6" s="8" t="s">
        <v>214</v>
      </c>
      <c r="G6" s="8" t="s">
        <v>215</v>
      </c>
      <c r="H6" s="8" t="s">
        <v>216</v>
      </c>
      <c r="I6" s="8" t="s">
        <v>217</v>
      </c>
      <c r="J6" s="8" t="s">
        <v>218</v>
      </c>
      <c r="K6" s="8" t="s">
        <v>219</v>
      </c>
      <c r="L6" s="8" t="s">
        <v>220</v>
      </c>
      <c r="M6" s="8" t="s">
        <v>221</v>
      </c>
      <c r="N6" s="8" t="s">
        <v>222</v>
      </c>
      <c r="O6" s="9"/>
      <c r="P6" s="9"/>
      <c r="Q6" s="9"/>
    </row>
    <row r="7" ht="20" customHeight="1">
      <c r="A7" s="14" t="s">
        <v>223</v>
      </c>
      <c r="B7" s="11" t="s">
        <v>50</v>
      </c>
      <c r="C7" s="12" t="s">
        <v>224</v>
      </c>
      <c r="D7" s="12" t="s">
        <v>224</v>
      </c>
      <c r="E7" s="12" t="s">
        <v>225</v>
      </c>
      <c r="F7" s="12" t="s">
        <v>224</v>
      </c>
      <c r="G7" s="12" t="s">
        <v>224</v>
      </c>
      <c r="H7" s="12" t="s">
        <v>226</v>
      </c>
      <c r="I7" s="12" t="s">
        <v>224</v>
      </c>
      <c r="J7" s="12" t="s">
        <v>224</v>
      </c>
      <c r="K7" s="12" t="s">
        <v>227</v>
      </c>
      <c r="L7" s="12" t="s">
        <v>224</v>
      </c>
      <c r="M7" s="12" t="s">
        <v>224</v>
      </c>
      <c r="N7" s="12" t="s">
        <v>228</v>
      </c>
      <c r="O7" s="13"/>
      <c r="P7" s="13"/>
      <c r="Q7" s="13"/>
    </row>
    <row r="8" ht="20" customHeight="1">
      <c r="A8" s="14" t="s">
        <v>229</v>
      </c>
      <c r="B8" s="11" t="s">
        <v>84</v>
      </c>
      <c r="C8" s="12" t="s">
        <v>224</v>
      </c>
      <c r="D8" s="12" t="s">
        <v>224</v>
      </c>
      <c r="E8" s="12" t="s">
        <v>224</v>
      </c>
      <c r="F8" s="12" t="s">
        <v>230</v>
      </c>
      <c r="G8" s="12" t="s">
        <v>224</v>
      </c>
      <c r="H8" s="12" t="s">
        <v>224</v>
      </c>
      <c r="I8" s="12" t="s">
        <v>224</v>
      </c>
      <c r="J8" s="12" t="s">
        <v>224</v>
      </c>
      <c r="K8" s="12" t="s">
        <v>224</v>
      </c>
      <c r="L8" s="12" t="s">
        <v>224</v>
      </c>
      <c r="M8" s="12" t="s">
        <v>224</v>
      </c>
      <c r="N8" s="12" t="s">
        <v>224</v>
      </c>
      <c r="O8" s="13"/>
      <c r="P8" s="13"/>
      <c r="Q8" s="13"/>
    </row>
    <row r="9" ht="20" customHeight="1">
      <c r="A9" s="14" t="s">
        <v>231</v>
      </c>
      <c r="B9" s="11" t="s">
        <v>34</v>
      </c>
      <c r="C9" s="12" t="s">
        <v>224</v>
      </c>
      <c r="D9" s="12" t="s">
        <v>232</v>
      </c>
      <c r="E9" s="12" t="s">
        <v>224</v>
      </c>
      <c r="F9" s="12" t="s">
        <v>224</v>
      </c>
      <c r="G9" s="12" t="s">
        <v>224</v>
      </c>
      <c r="H9" s="12" t="s">
        <v>224</v>
      </c>
      <c r="I9" s="12" t="s">
        <v>224</v>
      </c>
      <c r="J9" s="12" t="s">
        <v>224</v>
      </c>
      <c r="K9" s="12" t="s">
        <v>224</v>
      </c>
      <c r="L9" s="12" t="s">
        <v>224</v>
      </c>
      <c r="M9" s="12" t="s">
        <v>224</v>
      </c>
      <c r="N9" s="12" t="s">
        <v>224</v>
      </c>
      <c r="O9" s="13"/>
      <c r="P9" s="13"/>
      <c r="Q9" s="13"/>
    </row>
    <row r="10" ht="20" customHeight="1">
      <c r="A10" s="14" t="s">
        <v>233</v>
      </c>
      <c r="B10" s="11" t="s">
        <v>50</v>
      </c>
      <c r="C10" s="12" t="s">
        <v>224</v>
      </c>
      <c r="D10" s="12" t="s">
        <v>224</v>
      </c>
      <c r="E10" s="12" t="s">
        <v>234</v>
      </c>
      <c r="F10" s="12" t="s">
        <v>224</v>
      </c>
      <c r="G10" s="12" t="s">
        <v>224</v>
      </c>
      <c r="H10" s="12" t="s">
        <v>235</v>
      </c>
      <c r="I10" s="12" t="s">
        <v>224</v>
      </c>
      <c r="J10" s="12" t="s">
        <v>224</v>
      </c>
      <c r="K10" s="12" t="s">
        <v>236</v>
      </c>
      <c r="L10" s="12" t="s">
        <v>224</v>
      </c>
      <c r="M10" s="12" t="s">
        <v>224</v>
      </c>
      <c r="N10" s="12" t="s">
        <v>237</v>
      </c>
      <c r="O10" s="13"/>
      <c r="P10" s="13"/>
      <c r="Q10" s="13"/>
    </row>
    <row r="11" ht="20" customHeight="1">
      <c r="A11" s="14" t="s">
        <v>238</v>
      </c>
      <c r="B11" s="11" t="s">
        <v>19</v>
      </c>
      <c r="C11" s="12" t="s">
        <v>239</v>
      </c>
      <c r="D11" s="12" t="s">
        <v>224</v>
      </c>
      <c r="E11" s="12" t="s">
        <v>224</v>
      </c>
      <c r="F11" s="12" t="s">
        <v>240</v>
      </c>
      <c r="G11" s="12" t="s">
        <v>224</v>
      </c>
      <c r="H11" s="12" t="s">
        <v>224</v>
      </c>
      <c r="I11" s="12" t="s">
        <v>241</v>
      </c>
      <c r="J11" s="12" t="s">
        <v>224</v>
      </c>
      <c r="K11" s="12" t="s">
        <v>224</v>
      </c>
      <c r="L11" s="12" t="s">
        <v>242</v>
      </c>
      <c r="M11" s="12" t="s">
        <v>224</v>
      </c>
      <c r="N11" s="12" t="s">
        <v>224</v>
      </c>
      <c r="O11" s="13"/>
      <c r="P11" s="13"/>
      <c r="Q11" s="13"/>
    </row>
    <row r="12" ht="20" customHeight="1">
      <c r="A12" s="14" t="s">
        <v>243</v>
      </c>
      <c r="B12" s="11" t="s">
        <v>131</v>
      </c>
      <c r="C12" s="12" t="s">
        <v>224</v>
      </c>
      <c r="D12" s="12" t="s">
        <v>224</v>
      </c>
      <c r="E12" s="12" t="s">
        <v>224</v>
      </c>
      <c r="F12" s="12" t="s">
        <v>224</v>
      </c>
      <c r="G12" s="12" t="s">
        <v>224</v>
      </c>
      <c r="H12" s="12" t="s">
        <v>224</v>
      </c>
      <c r="I12" s="12" t="s">
        <v>244</v>
      </c>
      <c r="J12" s="12" t="s">
        <v>224</v>
      </c>
      <c r="K12" s="12" t="s">
        <v>224</v>
      </c>
      <c r="L12" s="12" t="s">
        <v>224</v>
      </c>
      <c r="M12" s="12" t="s">
        <v>224</v>
      </c>
      <c r="N12" s="12" t="s">
        <v>224</v>
      </c>
      <c r="O12" s="13"/>
      <c r="P12" s="13"/>
      <c r="Q12" s="13"/>
    </row>
    <row r="13" ht="20" customHeight="1">
      <c r="A13" s="14" t="s">
        <v>245</v>
      </c>
      <c r="B13" s="11" t="s">
        <v>66</v>
      </c>
      <c r="C13" s="12" t="s">
        <v>224</v>
      </c>
      <c r="D13" s="12" t="s">
        <v>224</v>
      </c>
      <c r="E13" s="12" t="s">
        <v>224</v>
      </c>
      <c r="F13" s="12" t="s">
        <v>246</v>
      </c>
      <c r="G13" s="12" t="s">
        <v>224</v>
      </c>
      <c r="H13" s="12" t="s">
        <v>224</v>
      </c>
      <c r="I13" s="12" t="s">
        <v>224</v>
      </c>
      <c r="J13" s="12" t="s">
        <v>224</v>
      </c>
      <c r="K13" s="12" t="s">
        <v>224</v>
      </c>
      <c r="L13" s="12" t="s">
        <v>224</v>
      </c>
      <c r="M13" s="12" t="s">
        <v>224</v>
      </c>
      <c r="N13" s="12" t="s">
        <v>224</v>
      </c>
      <c r="O13" s="13"/>
      <c r="P13" s="13"/>
      <c r="Q13" s="13"/>
    </row>
    <row r="14" ht="20" customHeight="1">
      <c r="A14" s="14" t="s">
        <v>247</v>
      </c>
      <c r="B14" s="11" t="s">
        <v>81</v>
      </c>
      <c r="C14" s="12" t="s">
        <v>224</v>
      </c>
      <c r="D14" s="12" t="s">
        <v>224</v>
      </c>
      <c r="E14" s="12" t="s">
        <v>224</v>
      </c>
      <c r="F14" s="12" t="s">
        <v>224</v>
      </c>
      <c r="G14" s="12" t="s">
        <v>224</v>
      </c>
      <c r="H14" s="12" t="s">
        <v>224</v>
      </c>
      <c r="I14" s="12" t="s">
        <v>224</v>
      </c>
      <c r="J14" s="12" t="s">
        <v>224</v>
      </c>
      <c r="K14" s="12" t="s">
        <v>224</v>
      </c>
      <c r="L14" s="12" t="s">
        <v>224</v>
      </c>
      <c r="M14" s="12" t="s">
        <v>224</v>
      </c>
      <c r="N14" s="12" t="s">
        <v>224</v>
      </c>
      <c r="O14" s="13"/>
      <c r="P14" s="13"/>
      <c r="Q14" s="13"/>
    </row>
    <row r="15" ht="20" customHeight="1">
      <c r="A15" s="14" t="s">
        <v>248</v>
      </c>
      <c r="B15" s="11" t="s">
        <v>21</v>
      </c>
      <c r="C15" s="12" t="s">
        <v>224</v>
      </c>
      <c r="D15" s="12" t="s">
        <v>224</v>
      </c>
      <c r="E15" s="12" t="s">
        <v>224</v>
      </c>
      <c r="F15" s="12" t="s">
        <v>224</v>
      </c>
      <c r="G15" s="12" t="s">
        <v>224</v>
      </c>
      <c r="H15" s="12" t="s">
        <v>224</v>
      </c>
      <c r="I15" s="12" t="s">
        <v>224</v>
      </c>
      <c r="J15" s="12" t="s">
        <v>224</v>
      </c>
      <c r="K15" s="12" t="s">
        <v>224</v>
      </c>
      <c r="L15" s="12" t="s">
        <v>224</v>
      </c>
      <c r="M15" s="12" t="s">
        <v>224</v>
      </c>
      <c r="N15" s="12" t="s">
        <v>224</v>
      </c>
      <c r="O15" s="13"/>
      <c r="P15" s="13"/>
      <c r="Q15" s="13"/>
    </row>
    <row r="16" ht="20" customHeight="1">
      <c r="A16" s="14" t="s">
        <v>249</v>
      </c>
      <c r="B16" s="11" t="s">
        <v>250</v>
      </c>
      <c r="C16" s="12" t="s">
        <v>224</v>
      </c>
      <c r="D16" s="12" t="s">
        <v>224</v>
      </c>
      <c r="E16" s="12" t="s">
        <v>224</v>
      </c>
      <c r="F16" s="12" t="s">
        <v>224</v>
      </c>
      <c r="G16" s="12" t="s">
        <v>224</v>
      </c>
      <c r="H16" s="12" t="s">
        <v>224</v>
      </c>
      <c r="I16" s="12" t="s">
        <v>224</v>
      </c>
      <c r="J16" s="12" t="s">
        <v>224</v>
      </c>
      <c r="K16" s="12" t="s">
        <v>224</v>
      </c>
      <c r="L16" s="12" t="s">
        <v>224</v>
      </c>
      <c r="M16" s="12" t="s">
        <v>224</v>
      </c>
      <c r="N16" s="12" t="s">
        <v>224</v>
      </c>
      <c r="O16" s="13"/>
      <c r="P16" s="13"/>
      <c r="Q16" s="13"/>
    </row>
    <row r="17" ht="20" customHeight="1">
      <c r="A17" s="14" t="s">
        <v>251</v>
      </c>
      <c r="B17" s="11" t="s">
        <v>50</v>
      </c>
      <c r="C17" s="12" t="s">
        <v>224</v>
      </c>
      <c r="D17" s="12" t="s">
        <v>224</v>
      </c>
      <c r="E17" s="12" t="s">
        <v>252</v>
      </c>
      <c r="F17" s="12" t="s">
        <v>224</v>
      </c>
      <c r="G17" s="12" t="s">
        <v>224</v>
      </c>
      <c r="H17" s="12" t="s">
        <v>253</v>
      </c>
      <c r="I17" s="12" t="s">
        <v>224</v>
      </c>
      <c r="J17" s="12" t="s">
        <v>224</v>
      </c>
      <c r="K17" s="12" t="s">
        <v>236</v>
      </c>
      <c r="L17" s="12" t="s">
        <v>224</v>
      </c>
      <c r="M17" s="12" t="s">
        <v>224</v>
      </c>
      <c r="N17" s="12" t="s">
        <v>254</v>
      </c>
      <c r="O17" s="13"/>
      <c r="P17" s="13"/>
      <c r="Q17" s="13"/>
    </row>
    <row r="18" ht="20" customHeight="1">
      <c r="A18" s="14" t="s">
        <v>255</v>
      </c>
      <c r="B18" s="11"/>
      <c r="C18" s="12" t="s">
        <v>224</v>
      </c>
      <c r="D18" s="12" t="s">
        <v>256</v>
      </c>
      <c r="E18" s="12" t="s">
        <v>224</v>
      </c>
      <c r="F18" s="12" t="s">
        <v>224</v>
      </c>
      <c r="G18" s="12" t="s">
        <v>224</v>
      </c>
      <c r="H18" s="12" t="s">
        <v>224</v>
      </c>
      <c r="I18" s="12" t="s">
        <v>224</v>
      </c>
      <c r="J18" s="12" t="s">
        <v>224</v>
      </c>
      <c r="K18" s="12" t="s">
        <v>224</v>
      </c>
      <c r="L18" s="12" t="s">
        <v>224</v>
      </c>
      <c r="M18" s="12" t="s">
        <v>224</v>
      </c>
      <c r="N18" s="12" t="s">
        <v>224</v>
      </c>
      <c r="O18" s="13"/>
      <c r="P18" s="13"/>
      <c r="Q18" s="13"/>
    </row>
    <row r="19" ht="20" customHeight="1">
      <c r="A19" s="14" t="s">
        <v>257</v>
      </c>
      <c r="B19" s="11" t="s">
        <v>258</v>
      </c>
      <c r="C19" s="12" t="s">
        <v>224</v>
      </c>
      <c r="D19" s="12" t="s">
        <v>224</v>
      </c>
      <c r="E19" s="12" t="s">
        <v>224</v>
      </c>
      <c r="F19" s="12" t="s">
        <v>224</v>
      </c>
      <c r="G19" s="12" t="s">
        <v>224</v>
      </c>
      <c r="H19" s="12" t="s">
        <v>224</v>
      </c>
      <c r="I19" s="12" t="s">
        <v>224</v>
      </c>
      <c r="J19" s="12" t="s">
        <v>224</v>
      </c>
      <c r="K19" s="12" t="s">
        <v>224</v>
      </c>
      <c r="L19" s="12" t="s">
        <v>224</v>
      </c>
      <c r="M19" s="12" t="s">
        <v>224</v>
      </c>
      <c r="N19" s="12" t="s">
        <v>224</v>
      </c>
      <c r="O19" s="13"/>
      <c r="P19" s="13"/>
      <c r="Q19" s="13"/>
    </row>
    <row r="20" ht="20" customHeight="1">
      <c r="A20" s="14" t="s">
        <v>259</v>
      </c>
      <c r="B20" s="11" t="s">
        <v>74</v>
      </c>
      <c r="C20" s="12" t="s">
        <v>224</v>
      </c>
      <c r="D20" s="12" t="s">
        <v>224</v>
      </c>
      <c r="E20" s="12" t="s">
        <v>224</v>
      </c>
      <c r="F20" s="12" t="s">
        <v>240</v>
      </c>
      <c r="G20" s="12" t="s">
        <v>224</v>
      </c>
      <c r="H20" s="12" t="s">
        <v>224</v>
      </c>
      <c r="I20" s="12" t="s">
        <v>224</v>
      </c>
      <c r="J20" s="12" t="s">
        <v>224</v>
      </c>
      <c r="K20" s="12" t="s">
        <v>224</v>
      </c>
      <c r="L20" s="12" t="s">
        <v>224</v>
      </c>
      <c r="M20" s="12" t="s">
        <v>224</v>
      </c>
      <c r="N20" s="12" t="s">
        <v>224</v>
      </c>
      <c r="O20" s="13"/>
      <c r="P20" s="13"/>
      <c r="Q20" s="13"/>
    </row>
    <row r="21" ht="20" customHeight="1">
      <c r="A21" s="14" t="s">
        <v>260</v>
      </c>
      <c r="B21" s="11" t="s">
        <v>152</v>
      </c>
      <c r="C21" s="12" t="s">
        <v>224</v>
      </c>
      <c r="D21" s="12" t="s">
        <v>224</v>
      </c>
      <c r="E21" s="12" t="s">
        <v>224</v>
      </c>
      <c r="F21" s="12" t="s">
        <v>224</v>
      </c>
      <c r="G21" s="12" t="s">
        <v>224</v>
      </c>
      <c r="H21" s="12" t="s">
        <v>224</v>
      </c>
      <c r="I21" s="12" t="s">
        <v>224</v>
      </c>
      <c r="J21" s="12" t="s">
        <v>261</v>
      </c>
      <c r="K21" s="12" t="s">
        <v>224</v>
      </c>
      <c r="L21" s="12" t="s">
        <v>224</v>
      </c>
      <c r="M21" s="12" t="s">
        <v>224</v>
      </c>
      <c r="N21" s="12" t="s">
        <v>224</v>
      </c>
      <c r="O21" s="13"/>
      <c r="P21" s="13"/>
      <c r="Q21" s="13"/>
    </row>
    <row r="22" ht="20" customHeight="1">
      <c r="A22" s="14" t="s">
        <v>262</v>
      </c>
      <c r="B22" s="11" t="s">
        <v>19</v>
      </c>
      <c r="C22" s="12" t="s">
        <v>224</v>
      </c>
      <c r="D22" s="12" t="s">
        <v>256</v>
      </c>
      <c r="E22" s="12" t="s">
        <v>224</v>
      </c>
      <c r="F22" s="12" t="s">
        <v>224</v>
      </c>
      <c r="G22" s="12" t="s">
        <v>263</v>
      </c>
      <c r="H22" s="12" t="s">
        <v>224</v>
      </c>
      <c r="I22" s="12" t="s">
        <v>224</v>
      </c>
      <c r="J22" s="12" t="s">
        <v>264</v>
      </c>
      <c r="K22" s="12" t="s">
        <v>224</v>
      </c>
      <c r="L22" s="12" t="s">
        <v>224</v>
      </c>
      <c r="M22" s="12" t="s">
        <v>224</v>
      </c>
      <c r="N22" s="12" t="s">
        <v>224</v>
      </c>
      <c r="O22" s="13"/>
      <c r="P22" s="13"/>
      <c r="Q22" s="13"/>
    </row>
    <row r="23" ht="20" customHeight="1">
      <c r="A23" s="14" t="s">
        <v>265</v>
      </c>
      <c r="B23" s="11" t="s">
        <v>250</v>
      </c>
      <c r="C23" s="12" t="s">
        <v>224</v>
      </c>
      <c r="D23" s="12" t="s">
        <v>224</v>
      </c>
      <c r="E23" s="12" t="s">
        <v>224</v>
      </c>
      <c r="F23" s="12" t="s">
        <v>224</v>
      </c>
      <c r="G23" s="12" t="s">
        <v>224</v>
      </c>
      <c r="H23" s="12" t="s">
        <v>224</v>
      </c>
      <c r="I23" s="12" t="s">
        <v>224</v>
      </c>
      <c r="J23" s="12" t="s">
        <v>224</v>
      </c>
      <c r="K23" s="12" t="s">
        <v>224</v>
      </c>
      <c r="L23" s="12" t="s">
        <v>224</v>
      </c>
      <c r="M23" s="12" t="s">
        <v>224</v>
      </c>
      <c r="N23" s="12" t="s">
        <v>224</v>
      </c>
      <c r="O23" s="13"/>
      <c r="P23" s="13"/>
      <c r="Q23" s="13"/>
    </row>
    <row r="24" ht="20" customHeight="1">
      <c r="A24" s="14" t="s">
        <v>266</v>
      </c>
      <c r="B24" s="11" t="s">
        <v>21</v>
      </c>
      <c r="C24" s="12" t="s">
        <v>239</v>
      </c>
      <c r="D24" s="12" t="s">
        <v>224</v>
      </c>
      <c r="E24" s="12" t="s">
        <v>224</v>
      </c>
      <c r="F24" s="12" t="s">
        <v>267</v>
      </c>
      <c r="G24" s="12" t="s">
        <v>224</v>
      </c>
      <c r="H24" s="12" t="s">
        <v>224</v>
      </c>
      <c r="I24" s="12" t="s">
        <v>268</v>
      </c>
      <c r="J24" s="12" t="s">
        <v>224</v>
      </c>
      <c r="K24" s="12" t="s">
        <v>224</v>
      </c>
      <c r="L24" s="12" t="s">
        <v>269</v>
      </c>
      <c r="M24" s="12" t="s">
        <v>224</v>
      </c>
      <c r="N24" s="12" t="s">
        <v>224</v>
      </c>
      <c r="O24" s="13"/>
      <c r="P24" s="13"/>
      <c r="Q24" s="13"/>
    </row>
    <row r="25" ht="20" customHeight="1">
      <c r="A25" s="14" t="s">
        <v>270</v>
      </c>
      <c r="B25" s="11" t="s">
        <v>42</v>
      </c>
      <c r="C25" s="12" t="s">
        <v>224</v>
      </c>
      <c r="D25" s="12" t="s">
        <v>256</v>
      </c>
      <c r="E25" s="12" t="s">
        <v>224</v>
      </c>
      <c r="F25" s="12" t="s">
        <v>224</v>
      </c>
      <c r="G25" s="12" t="s">
        <v>263</v>
      </c>
      <c r="H25" s="12" t="s">
        <v>224</v>
      </c>
      <c r="I25" s="12" t="s">
        <v>224</v>
      </c>
      <c r="J25" s="12" t="s">
        <v>264</v>
      </c>
      <c r="K25" s="12" t="s">
        <v>224</v>
      </c>
      <c r="L25" s="12" t="s">
        <v>224</v>
      </c>
      <c r="M25" s="12" t="s">
        <v>271</v>
      </c>
      <c r="N25" s="12" t="s">
        <v>224</v>
      </c>
      <c r="O25" s="13"/>
      <c r="P25" s="13"/>
      <c r="Q25" s="13"/>
    </row>
    <row r="26" ht="20" customHeight="1">
      <c r="A26" s="14" t="s">
        <v>272</v>
      </c>
      <c r="B26" s="11" t="s">
        <v>50</v>
      </c>
      <c r="C26" s="12" t="s">
        <v>224</v>
      </c>
      <c r="D26" s="12" t="s">
        <v>224</v>
      </c>
      <c r="E26" s="12" t="s">
        <v>234</v>
      </c>
      <c r="F26" s="12" t="s">
        <v>224</v>
      </c>
      <c r="G26" s="12" t="s">
        <v>224</v>
      </c>
      <c r="H26" s="12" t="s">
        <v>253</v>
      </c>
      <c r="I26" s="12" t="s">
        <v>224</v>
      </c>
      <c r="J26" s="12" t="s">
        <v>224</v>
      </c>
      <c r="K26" s="12" t="s">
        <v>224</v>
      </c>
      <c r="L26" s="12" t="s">
        <v>224</v>
      </c>
      <c r="M26" s="12" t="s">
        <v>224</v>
      </c>
      <c r="N26" s="12" t="s">
        <v>224</v>
      </c>
      <c r="O26" s="13"/>
      <c r="P26" s="13"/>
      <c r="Q26" s="13"/>
    </row>
    <row r="27" ht="20" customHeight="1">
      <c r="A27" s="14" t="s">
        <v>273</v>
      </c>
      <c r="B27" s="11" t="s">
        <v>19</v>
      </c>
      <c r="C27" s="12" t="s">
        <v>224</v>
      </c>
      <c r="D27" s="12" t="s">
        <v>256</v>
      </c>
      <c r="E27" s="12" t="s">
        <v>224</v>
      </c>
      <c r="F27" s="12" t="s">
        <v>224</v>
      </c>
      <c r="G27" s="12" t="s">
        <v>274</v>
      </c>
      <c r="H27" s="12" t="s">
        <v>224</v>
      </c>
      <c r="I27" s="12" t="s">
        <v>224</v>
      </c>
      <c r="J27" s="12" t="s">
        <v>275</v>
      </c>
      <c r="K27" s="12" t="s">
        <v>224</v>
      </c>
      <c r="L27" s="12" t="s">
        <v>224</v>
      </c>
      <c r="M27" s="12" t="s">
        <v>276</v>
      </c>
      <c r="N27" s="12" t="s">
        <v>224</v>
      </c>
      <c r="O27" s="13"/>
      <c r="P27" s="13"/>
      <c r="Q27" s="13"/>
    </row>
    <row r="28" ht="20" customHeight="1">
      <c r="A28" s="14" t="s">
        <v>277</v>
      </c>
      <c r="B28" s="11" t="s">
        <v>131</v>
      </c>
      <c r="C28" s="12" t="s">
        <v>224</v>
      </c>
      <c r="D28" s="12" t="s">
        <v>224</v>
      </c>
      <c r="E28" s="12" t="s">
        <v>224</v>
      </c>
      <c r="F28" s="12" t="s">
        <v>224</v>
      </c>
      <c r="G28" s="12" t="s">
        <v>224</v>
      </c>
      <c r="H28" s="12" t="s">
        <v>224</v>
      </c>
      <c r="I28" s="12" t="s">
        <v>224</v>
      </c>
      <c r="J28" s="12" t="s">
        <v>224</v>
      </c>
      <c r="K28" s="12" t="s">
        <v>224</v>
      </c>
      <c r="L28" s="12" t="s">
        <v>224</v>
      </c>
      <c r="M28" s="12" t="s">
        <v>224</v>
      </c>
      <c r="N28" s="12" t="s">
        <v>224</v>
      </c>
      <c r="O28" s="13"/>
      <c r="P28" s="13"/>
      <c r="Q28" s="13"/>
    </row>
    <row r="29" ht="20" customHeight="1">
      <c r="A29" s="14" t="s">
        <v>278</v>
      </c>
      <c r="B29" s="11" t="s">
        <v>81</v>
      </c>
      <c r="C29" s="12" t="s">
        <v>224</v>
      </c>
      <c r="D29" s="12" t="s">
        <v>224</v>
      </c>
      <c r="E29" s="12" t="s">
        <v>224</v>
      </c>
      <c r="F29" s="12" t="s">
        <v>230</v>
      </c>
      <c r="G29" s="12" t="s">
        <v>224</v>
      </c>
      <c r="H29" s="12" t="s">
        <v>224</v>
      </c>
      <c r="I29" s="12" t="s">
        <v>224</v>
      </c>
      <c r="J29" s="12" t="s">
        <v>224</v>
      </c>
      <c r="K29" s="12" t="s">
        <v>224</v>
      </c>
      <c r="L29" s="12" t="s">
        <v>224</v>
      </c>
      <c r="M29" s="12" t="s">
        <v>224</v>
      </c>
      <c r="N29" s="12" t="s">
        <v>224</v>
      </c>
      <c r="O29" s="13"/>
      <c r="P29" s="13"/>
      <c r="Q29" s="13"/>
    </row>
    <row r="30" ht="20" customHeight="1">
      <c r="A30" s="14" t="s">
        <v>279</v>
      </c>
      <c r="B30" s="11" t="s">
        <v>81</v>
      </c>
      <c r="C30" s="12" t="s">
        <v>224</v>
      </c>
      <c r="D30" s="12" t="s">
        <v>224</v>
      </c>
      <c r="E30" s="12" t="s">
        <v>224</v>
      </c>
      <c r="F30" s="12" t="s">
        <v>230</v>
      </c>
      <c r="G30" s="12" t="s">
        <v>224</v>
      </c>
      <c r="H30" s="12" t="s">
        <v>224</v>
      </c>
      <c r="I30" s="12" t="s">
        <v>224</v>
      </c>
      <c r="J30" s="12" t="s">
        <v>224</v>
      </c>
      <c r="K30" s="12" t="s">
        <v>224</v>
      </c>
      <c r="L30" s="12" t="s">
        <v>224</v>
      </c>
      <c r="M30" s="12" t="s">
        <v>224</v>
      </c>
      <c r="N30" s="12" t="s">
        <v>224</v>
      </c>
      <c r="O30" s="13"/>
      <c r="P30" s="13"/>
      <c r="Q30" s="13"/>
    </row>
    <row r="31" ht="20" customHeight="1">
      <c r="A31" s="14" t="s">
        <v>280</v>
      </c>
      <c r="B31" s="11" t="s">
        <v>21</v>
      </c>
      <c r="C31" s="12" t="s">
        <v>239</v>
      </c>
      <c r="D31" s="12" t="s">
        <v>224</v>
      </c>
      <c r="E31" s="12" t="s">
        <v>224</v>
      </c>
      <c r="F31" s="12" t="s">
        <v>240</v>
      </c>
      <c r="G31" s="12" t="s">
        <v>224</v>
      </c>
      <c r="H31" s="12" t="s">
        <v>224</v>
      </c>
      <c r="I31" s="12" t="s">
        <v>281</v>
      </c>
      <c r="J31" s="12" t="s">
        <v>224</v>
      </c>
      <c r="K31" s="12" t="s">
        <v>224</v>
      </c>
      <c r="L31" s="12" t="s">
        <v>242</v>
      </c>
      <c r="M31" s="12" t="s">
        <v>224</v>
      </c>
      <c r="N31" s="12" t="s">
        <v>224</v>
      </c>
      <c r="O31" s="13"/>
      <c r="P31" s="13"/>
      <c r="Q31" s="13"/>
    </row>
    <row r="32" ht="20" customHeight="1">
      <c r="A32" s="14" t="s">
        <v>282</v>
      </c>
      <c r="B32" s="11" t="s">
        <v>154</v>
      </c>
      <c r="C32" s="12" t="s">
        <v>224</v>
      </c>
      <c r="D32" s="12" t="s">
        <v>224</v>
      </c>
      <c r="E32" s="12" t="s">
        <v>224</v>
      </c>
      <c r="F32" s="12" t="s">
        <v>224</v>
      </c>
      <c r="G32" s="12" t="s">
        <v>224</v>
      </c>
      <c r="H32" s="12" t="s">
        <v>224</v>
      </c>
      <c r="I32" s="12" t="s">
        <v>224</v>
      </c>
      <c r="J32" s="12" t="s">
        <v>261</v>
      </c>
      <c r="K32" s="12" t="s">
        <v>224</v>
      </c>
      <c r="L32" s="12" t="s">
        <v>224</v>
      </c>
      <c r="M32" s="12" t="s">
        <v>224</v>
      </c>
      <c r="N32" s="12" t="s">
        <v>224</v>
      </c>
      <c r="O32" s="13"/>
      <c r="P32" s="13"/>
      <c r="Q32" s="13"/>
    </row>
    <row r="33" ht="20" customHeight="1">
      <c r="A33" s="14" t="s">
        <v>283</v>
      </c>
      <c r="B33" s="11" t="s">
        <v>74</v>
      </c>
      <c r="C33" s="12" t="s">
        <v>224</v>
      </c>
      <c r="D33" s="12" t="s">
        <v>224</v>
      </c>
      <c r="E33" s="12" t="s">
        <v>224</v>
      </c>
      <c r="F33" s="12" t="s">
        <v>267</v>
      </c>
      <c r="G33" s="12" t="s">
        <v>224</v>
      </c>
      <c r="H33" s="12" t="s">
        <v>224</v>
      </c>
      <c r="I33" s="12" t="s">
        <v>224</v>
      </c>
      <c r="J33" s="12" t="s">
        <v>224</v>
      </c>
      <c r="K33" s="12" t="s">
        <v>224</v>
      </c>
      <c r="L33" s="12" t="s">
        <v>224</v>
      </c>
      <c r="M33" s="12" t="s">
        <v>224</v>
      </c>
      <c r="N33" s="12" t="s">
        <v>224</v>
      </c>
      <c r="O33" s="13"/>
      <c r="P33" s="13"/>
      <c r="Q33" s="13"/>
    </row>
    <row r="34" ht="20" customHeight="1">
      <c r="A34" s="14" t="s">
        <v>284</v>
      </c>
      <c r="B34" s="11" t="s">
        <v>157</v>
      </c>
      <c r="C34" s="12" t="s">
        <v>224</v>
      </c>
      <c r="D34" s="12" t="s">
        <v>224</v>
      </c>
      <c r="E34" s="12" t="s">
        <v>224</v>
      </c>
      <c r="F34" s="12" t="s">
        <v>224</v>
      </c>
      <c r="G34" s="12" t="s">
        <v>224</v>
      </c>
      <c r="H34" s="12" t="s">
        <v>224</v>
      </c>
      <c r="I34" s="12" t="s">
        <v>224</v>
      </c>
      <c r="J34" s="12" t="s">
        <v>285</v>
      </c>
      <c r="K34" s="12" t="s">
        <v>224</v>
      </c>
      <c r="L34" s="12" t="s">
        <v>224</v>
      </c>
      <c r="M34" s="12" t="s">
        <v>224</v>
      </c>
      <c r="N34" s="12" t="s">
        <v>224</v>
      </c>
      <c r="O34" s="13"/>
      <c r="P34" s="13"/>
      <c r="Q34" s="13"/>
    </row>
    <row r="35" ht="20" customHeight="1">
      <c r="A35" s="14" t="s">
        <v>286</v>
      </c>
      <c r="B35" s="11" t="s">
        <v>21</v>
      </c>
      <c r="C35" s="12" t="s">
        <v>239</v>
      </c>
      <c r="D35" s="12" t="s">
        <v>224</v>
      </c>
      <c r="E35" s="12" t="s">
        <v>224</v>
      </c>
      <c r="F35" s="12" t="s">
        <v>240</v>
      </c>
      <c r="G35" s="12" t="s">
        <v>224</v>
      </c>
      <c r="H35" s="12" t="s">
        <v>224</v>
      </c>
      <c r="I35" s="12" t="s">
        <v>281</v>
      </c>
      <c r="J35" s="12" t="s">
        <v>224</v>
      </c>
      <c r="K35" s="12" t="s">
        <v>224</v>
      </c>
      <c r="L35" s="12" t="s">
        <v>242</v>
      </c>
      <c r="M35" s="12" t="s">
        <v>224</v>
      </c>
      <c r="N35" s="12" t="s">
        <v>224</v>
      </c>
      <c r="O35" s="13"/>
      <c r="P35" s="13"/>
      <c r="Q35" s="13"/>
    </row>
    <row r="36" ht="20" customHeight="1">
      <c r="A36" s="14" t="s">
        <v>287</v>
      </c>
      <c r="B36" s="11" t="s">
        <v>288</v>
      </c>
      <c r="C36" s="12" t="s">
        <v>224</v>
      </c>
      <c r="D36" s="12" t="s">
        <v>224</v>
      </c>
      <c r="E36" s="12" t="s">
        <v>224</v>
      </c>
      <c r="F36" s="12" t="s">
        <v>224</v>
      </c>
      <c r="G36" s="12" t="s">
        <v>224</v>
      </c>
      <c r="H36" s="12" t="s">
        <v>224</v>
      </c>
      <c r="I36" s="12" t="s">
        <v>224</v>
      </c>
      <c r="J36" s="12" t="s">
        <v>224</v>
      </c>
      <c r="K36" s="12" t="s">
        <v>224</v>
      </c>
      <c r="L36" s="12" t="s">
        <v>224</v>
      </c>
      <c r="M36" s="12" t="s">
        <v>224</v>
      </c>
      <c r="N36" s="12" t="s">
        <v>224</v>
      </c>
      <c r="O36" s="13"/>
      <c r="P36" s="13"/>
      <c r="Q36" s="13"/>
    </row>
    <row r="37" ht="20" customHeight="1">
      <c r="A37" s="14" t="s">
        <v>289</v>
      </c>
      <c r="B37" s="11" t="s">
        <v>21</v>
      </c>
      <c r="C37" s="12" t="s">
        <v>239</v>
      </c>
      <c r="D37" s="12" t="s">
        <v>224</v>
      </c>
      <c r="E37" s="12" t="s">
        <v>224</v>
      </c>
      <c r="F37" s="12" t="s">
        <v>230</v>
      </c>
      <c r="G37" s="12" t="s">
        <v>224</v>
      </c>
      <c r="H37" s="12" t="s">
        <v>224</v>
      </c>
      <c r="I37" s="12" t="s">
        <v>244</v>
      </c>
      <c r="J37" s="12" t="s">
        <v>224</v>
      </c>
      <c r="K37" s="12" t="s">
        <v>224</v>
      </c>
      <c r="L37" s="12" t="s">
        <v>290</v>
      </c>
      <c r="M37" s="12" t="s">
        <v>224</v>
      </c>
      <c r="N37" s="12" t="s">
        <v>224</v>
      </c>
      <c r="O37" s="13"/>
      <c r="P37" s="13"/>
      <c r="Q37" s="13"/>
    </row>
    <row r="38" ht="20" customHeight="1">
      <c r="A38" s="14" t="s">
        <v>291</v>
      </c>
      <c r="B38" s="11" t="s">
        <v>21</v>
      </c>
      <c r="C38" s="12" t="s">
        <v>239</v>
      </c>
      <c r="D38" s="12" t="s">
        <v>224</v>
      </c>
      <c r="E38" s="12" t="s">
        <v>224</v>
      </c>
      <c r="F38" s="12" t="s">
        <v>240</v>
      </c>
      <c r="G38" s="12" t="s">
        <v>224</v>
      </c>
      <c r="H38" s="12" t="s">
        <v>224</v>
      </c>
      <c r="I38" s="12" t="s">
        <v>281</v>
      </c>
      <c r="J38" s="12" t="s">
        <v>224</v>
      </c>
      <c r="K38" s="12" t="s">
        <v>224</v>
      </c>
      <c r="L38" s="12" t="s">
        <v>242</v>
      </c>
      <c r="M38" s="12" t="s">
        <v>224</v>
      </c>
      <c r="N38" s="12" t="s">
        <v>224</v>
      </c>
      <c r="O38" s="13"/>
      <c r="P38" s="13"/>
      <c r="Q38" s="13"/>
    </row>
    <row r="39" ht="20" customHeight="1">
      <c r="A39" s="14" t="s">
        <v>292</v>
      </c>
      <c r="B39" s="11" t="s">
        <v>131</v>
      </c>
      <c r="C39" s="12" t="s">
        <v>224</v>
      </c>
      <c r="D39" s="12" t="s">
        <v>224</v>
      </c>
      <c r="E39" s="12" t="s">
        <v>224</v>
      </c>
      <c r="F39" s="12" t="s">
        <v>224</v>
      </c>
      <c r="G39" s="12" t="s">
        <v>224</v>
      </c>
      <c r="H39" s="12" t="s">
        <v>224</v>
      </c>
      <c r="I39" s="12" t="s">
        <v>224</v>
      </c>
      <c r="J39" s="12" t="s">
        <v>224</v>
      </c>
      <c r="K39" s="12" t="s">
        <v>224</v>
      </c>
      <c r="L39" s="12" t="s">
        <v>224</v>
      </c>
      <c r="M39" s="12" t="s">
        <v>224</v>
      </c>
      <c r="N39" s="12" t="s">
        <v>224</v>
      </c>
      <c r="O39" s="13"/>
      <c r="P39" s="13"/>
      <c r="Q39" s="13"/>
    </row>
    <row r="40" ht="20" customHeight="1">
      <c r="A40" s="14" t="s">
        <v>293</v>
      </c>
      <c r="B40" s="11" t="s">
        <v>50</v>
      </c>
      <c r="C40" s="12" t="s">
        <v>224</v>
      </c>
      <c r="D40" s="12" t="s">
        <v>224</v>
      </c>
      <c r="E40" s="12" t="s">
        <v>294</v>
      </c>
      <c r="F40" s="12" t="s">
        <v>224</v>
      </c>
      <c r="G40" s="12" t="s">
        <v>224</v>
      </c>
      <c r="H40" s="12" t="s">
        <v>295</v>
      </c>
      <c r="I40" s="12" t="s">
        <v>224</v>
      </c>
      <c r="J40" s="12" t="s">
        <v>224</v>
      </c>
      <c r="K40" s="12" t="s">
        <v>296</v>
      </c>
      <c r="L40" s="12" t="s">
        <v>224</v>
      </c>
      <c r="M40" s="12" t="s">
        <v>224</v>
      </c>
      <c r="N40" s="12" t="s">
        <v>224</v>
      </c>
      <c r="O40" s="13"/>
      <c r="P40" s="13"/>
      <c r="Q40" s="13"/>
    </row>
    <row r="41" ht="20" customHeight="1">
      <c r="A41" s="14" t="s">
        <v>297</v>
      </c>
      <c r="B41" s="11" t="s">
        <v>32</v>
      </c>
      <c r="C41" s="12" t="s">
        <v>224</v>
      </c>
      <c r="D41" s="12" t="s">
        <v>232</v>
      </c>
      <c r="E41" s="12" t="s">
        <v>224</v>
      </c>
      <c r="F41" s="12" t="s">
        <v>224</v>
      </c>
      <c r="G41" s="12" t="s">
        <v>224</v>
      </c>
      <c r="H41" s="12" t="s">
        <v>224</v>
      </c>
      <c r="I41" s="12" t="s">
        <v>224</v>
      </c>
      <c r="J41" s="12" t="s">
        <v>298</v>
      </c>
      <c r="K41" s="12" t="s">
        <v>224</v>
      </c>
      <c r="L41" s="12" t="s">
        <v>224</v>
      </c>
      <c r="M41" s="12" t="s">
        <v>224</v>
      </c>
      <c r="N41" s="12" t="s">
        <v>224</v>
      </c>
      <c r="O41" s="13"/>
      <c r="P41" s="13"/>
      <c r="Q41" s="13"/>
    </row>
    <row r="42" ht="20" customHeight="1">
      <c r="A42" s="14" t="s">
        <v>299</v>
      </c>
      <c r="B42" s="11" t="s">
        <v>250</v>
      </c>
      <c r="C42" s="12" t="s">
        <v>224</v>
      </c>
      <c r="D42" s="12" t="s">
        <v>224</v>
      </c>
      <c r="E42" s="12" t="s">
        <v>224</v>
      </c>
      <c r="F42" s="12" t="s">
        <v>224</v>
      </c>
      <c r="G42" s="12" t="s">
        <v>224</v>
      </c>
      <c r="H42" s="12" t="s">
        <v>224</v>
      </c>
      <c r="I42" s="12" t="s">
        <v>224</v>
      </c>
      <c r="J42" s="12" t="s">
        <v>224</v>
      </c>
      <c r="K42" s="12" t="s">
        <v>224</v>
      </c>
      <c r="L42" s="12" t="s">
        <v>224</v>
      </c>
      <c r="M42" s="12" t="s">
        <v>224</v>
      </c>
      <c r="N42" s="12" t="s">
        <v>224</v>
      </c>
      <c r="O42" s="13"/>
      <c r="P42" s="13"/>
      <c r="Q42" s="13"/>
    </row>
    <row r="43" ht="20" customHeight="1">
      <c r="A43" s="14" t="s">
        <v>300</v>
      </c>
      <c r="B43" s="11" t="s">
        <v>301</v>
      </c>
      <c r="C43" s="12" t="s">
        <v>224</v>
      </c>
      <c r="D43" s="12" t="s">
        <v>224</v>
      </c>
      <c r="E43" s="12" t="s">
        <v>224</v>
      </c>
      <c r="F43" s="12" t="s">
        <v>224</v>
      </c>
      <c r="G43" s="12" t="s">
        <v>224</v>
      </c>
      <c r="H43" s="12" t="s">
        <v>224</v>
      </c>
      <c r="I43" s="12" t="s">
        <v>224</v>
      </c>
      <c r="J43" s="12" t="s">
        <v>224</v>
      </c>
      <c r="K43" s="12" t="s">
        <v>224</v>
      </c>
      <c r="L43" s="12" t="s">
        <v>224</v>
      </c>
      <c r="M43" s="12" t="s">
        <v>224</v>
      </c>
      <c r="N43" s="12" t="s">
        <v>224</v>
      </c>
      <c r="O43" s="13"/>
      <c r="P43" s="13"/>
      <c r="Q43" s="13"/>
    </row>
  </sheetData>
  <autoFilter ref="A6:N6"/>
  <conditionalFormatting sqref="C7:N43">
    <cfRule type="expression" dxfId="5" priority="3">
      <formula>ISNUMBER(SEARCH("confirmed", INDIRECT("RC", FALSE)))</formula>
    </cfRule>
    <cfRule type="expression" dxfId="6" priority="2">
      <formula>ISNUMBER(SEARCH("provisional", INDIRECT("RC", FALSE)))</formula>
    </cfRule>
    <cfRule type="expression" dxfId="7" priority="1">
      <formula>ISNUMBER(SEARCH("cancelled", INDIRECT("RC", FALSE)))</formula>
    </cfRule>
  </conditionalFormatting>
  <hyperlinks>
    <hyperlink ref="A3" r:id="rId1h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25.71" hidden="0" customWidth="1"/>
    <col min="3" max="3" width="30.71" hidden="0" customWidth="1"/>
    <col min="4" max="4" width="30.71" hidden="0" customWidth="1"/>
    <col min="5" max="5" width="30.71" hidden="0" customWidth="1"/>
    <col min="6" max="6" width="30.71" hidden="0" customWidth="1"/>
    <col min="7" max="7" width="15.71" hidden="0" customWidth="1"/>
    <col min="8" max="8" width="60.71" hidden="0" customWidth="1"/>
  </cols>
  <sheetData>
    <row r="1">
      <c r="A1" s="2" t="s">
        <v>302</v>
      </c>
    </row>
    <row r="2">
      <c r="A2" s="3" t="s">
        <v>303</v>
      </c>
    </row>
    <row r="3" ht="30" customHeight="1">
      <c r="A3" s="15"/>
    </row>
    <row r="4">
      <c r="A4" s="5" t="s">
        <v>3</v>
      </c>
    </row>
    <row r="6" ht="30" customHeight="1">
      <c r="A6" s="16" t="s">
        <v>211</v>
      </c>
      <c r="B6" s="10" t="s">
        <v>304</v>
      </c>
      <c r="C6" s="10" t="s">
        <v>11</v>
      </c>
      <c r="D6" s="10" t="s">
        <v>305</v>
      </c>
      <c r="E6" s="10" t="s">
        <v>306</v>
      </c>
      <c r="F6" s="10" t="s">
        <v>307</v>
      </c>
      <c r="G6" s="10" t="s">
        <v>308</v>
      </c>
      <c r="H6" s="10" t="s">
        <v>309</v>
      </c>
    </row>
    <row r="7" ht="20" customHeight="1">
      <c r="A7" s="14" t="s">
        <v>223</v>
      </c>
      <c r="B7" s="17" t="str">
        <f>HYPERLINK("https://www.gov.uk/government/collections/civil-justice-statistics-quarterly", "Link to publication")</f>
      </c>
      <c r="C7" s="11" t="s">
        <v>50</v>
      </c>
      <c r="D7" s="11" t="s">
        <v>310</v>
      </c>
      <c r="E7" s="11" t="s">
        <v>311</v>
      </c>
      <c r="F7" s="11" t="s">
        <v>312</v>
      </c>
      <c r="G7" s="11" t="s">
        <v>313</v>
      </c>
      <c r="H7" s="11" t="s">
        <v>314</v>
      </c>
    </row>
    <row r="8" ht="20" customHeight="1">
      <c r="A8" s="14" t="s">
        <v>229</v>
      </c>
      <c r="B8" s="17" t="str">
        <f>HYPERLINK("https://www.gov.uk/government/statistics/community-performance-annual-update-to-march-2025", "Link to publication")</f>
      </c>
      <c r="C8" s="11" t="s">
        <v>84</v>
      </c>
      <c r="D8" s="11" t="s">
        <v>315</v>
      </c>
      <c r="E8" s="11" t="s">
        <v>316</v>
      </c>
      <c r="F8" s="11" t="s">
        <v>317</v>
      </c>
      <c r="G8" s="11" t="s">
        <v>313</v>
      </c>
      <c r="H8" s="11" t="s">
        <v>318</v>
      </c>
    </row>
    <row r="9" ht="20" customHeight="1">
      <c r="A9" s="14" t="s">
        <v>231</v>
      </c>
      <c r="B9" s="17" t="str">
        <f>HYPERLINK("https://www.gov.uk/government/collections/coroners-and-burials-statistics", "Link to publication")</f>
      </c>
      <c r="C9" s="11" t="s">
        <v>34</v>
      </c>
      <c r="D9" s="11" t="s">
        <v>310</v>
      </c>
      <c r="E9" s="11" t="s">
        <v>311</v>
      </c>
      <c r="F9" s="11" t="s">
        <v>312</v>
      </c>
      <c r="G9" s="11" t="s">
        <v>319</v>
      </c>
      <c r="H9" s="11" t="s">
        <v>320</v>
      </c>
    </row>
    <row r="10" ht="20" customHeight="1">
      <c r="A10" s="14" t="s">
        <v>233</v>
      </c>
      <c r="B10" s="17" t="str">
        <f>HYPERLINK("https://www.gov.uk/government/collections/criminal-court-statistics", "Link to publication")</f>
      </c>
      <c r="C10" s="11" t="s">
        <v>50</v>
      </c>
      <c r="D10" s="11" t="s">
        <v>321</v>
      </c>
      <c r="E10" s="11" t="s">
        <v>322</v>
      </c>
      <c r="F10" s="11" t="s">
        <v>321</v>
      </c>
      <c r="G10" s="11" t="s">
        <v>313</v>
      </c>
      <c r="H10" s="11" t="s">
        <v>323</v>
      </c>
    </row>
    <row r="11" ht="20" customHeight="1">
      <c r="A11" s="14" t="s">
        <v>238</v>
      </c>
      <c r="B11" s="17" t="str">
        <f>HYPERLINK("https://www.gov.uk/government/collections/criminal-justice-statistics-quarterly", "Link to publication")</f>
      </c>
      <c r="C11" s="11" t="s">
        <v>19</v>
      </c>
      <c r="D11" s="11" t="s">
        <v>324</v>
      </c>
      <c r="E11" s="11" t="s">
        <v>322</v>
      </c>
      <c r="F11" s="11" t="s">
        <v>324</v>
      </c>
      <c r="G11" s="11" t="s">
        <v>313</v>
      </c>
      <c r="H11" s="11" t="s">
        <v>325</v>
      </c>
    </row>
    <row r="12" ht="20" customHeight="1">
      <c r="A12" s="14" t="s">
        <v>243</v>
      </c>
      <c r="B12" s="17" t="str">
        <f>HYPERLINK("https://www.gov.uk/government/collections/death-of-offenders-in-the-community", "Link to publication")</f>
      </c>
      <c r="C12" s="11" t="s">
        <v>131</v>
      </c>
      <c r="D12" s="11" t="s">
        <v>326</v>
      </c>
      <c r="E12" s="11" t="s">
        <v>327</v>
      </c>
      <c r="F12" s="11" t="s">
        <v>326</v>
      </c>
      <c r="G12" s="11" t="s">
        <v>319</v>
      </c>
      <c r="H12" s="11" t="s">
        <v>328</v>
      </c>
    </row>
    <row r="13" ht="20" customHeight="1">
      <c r="A13" s="14" t="s">
        <v>245</v>
      </c>
      <c r="B13" s="17" t="str">
        <f>HYPERLINK("https://www.gov.uk/government/statistics/diversity-of-the-judiciary-2024-statistics", "Link to publication")</f>
      </c>
      <c r="C13" s="11" t="s">
        <v>66</v>
      </c>
      <c r="D13" s="11" t="s">
        <v>329</v>
      </c>
      <c r="E13" s="11" t="s">
        <v>330</v>
      </c>
      <c r="F13" s="11" t="s">
        <v>329</v>
      </c>
      <c r="G13" s="11" t="s">
        <v>319</v>
      </c>
      <c r="H13" s="11" t="s">
        <v>331</v>
      </c>
    </row>
    <row r="14" ht="20" customHeight="1">
      <c r="A14" s="14" t="s">
        <v>247</v>
      </c>
      <c r="B14" s="17" t="str">
        <f>HYPERLINK("https://www.gov.uk/government/statistics/electronic-monitoring-statistics-annual-publication-march-2024", "Link to publication")</f>
      </c>
      <c r="C14" s="11" t="s">
        <v>81</v>
      </c>
      <c r="D14" s="11" t="s">
        <v>332</v>
      </c>
      <c r="E14" s="11" t="s">
        <v>333</v>
      </c>
      <c r="F14" s="11" t="s">
        <v>332</v>
      </c>
      <c r="G14" s="11" t="s">
        <v>313</v>
      </c>
      <c r="H14" s="11" t="s">
        <v>334</v>
      </c>
    </row>
    <row r="15" ht="20" customHeight="1">
      <c r="A15" s="14" t="s">
        <v>248</v>
      </c>
      <c r="B15" s="17" t="str">
        <f>HYPERLINK("https://www.gov.uk/government/collections/electronic-monitoring-publication", "Link to publication")</f>
      </c>
      <c r="C15" s="11" t="s">
        <v>21</v>
      </c>
      <c r="D15" s="11" t="s">
        <v>332</v>
      </c>
      <c r="E15" s="11" t="s">
        <v>333</v>
      </c>
      <c r="F15" s="11" t="s">
        <v>332</v>
      </c>
      <c r="G15" s="11" t="s">
        <v>313</v>
      </c>
      <c r="H15" s="11" t="s">
        <v>334</v>
      </c>
    </row>
    <row r="16" ht="20" customHeight="1">
      <c r="A16" s="14" t="s">
        <v>249</v>
      </c>
      <c r="B16" s="17" t="str">
        <f>HYPERLINK("https://www.gov.uk/government/statistics/ethnicity-and-the-criminal-justice-system-2024", "Link to publication")</f>
      </c>
      <c r="C16" s="11" t="s">
        <v>250</v>
      </c>
      <c r="D16" s="11" t="s">
        <v>324</v>
      </c>
      <c r="E16" s="11" t="s">
        <v>322</v>
      </c>
      <c r="F16" s="11" t="s">
        <v>324</v>
      </c>
      <c r="G16" s="11" t="s">
        <v>319</v>
      </c>
      <c r="H16" s="11" t="s">
        <v>325</v>
      </c>
    </row>
    <row r="17" ht="20" customHeight="1">
      <c r="A17" s="14" t="s">
        <v>251</v>
      </c>
      <c r="B17" s="17" t="str">
        <f>HYPERLINK("https://www.gov.uk/government/collections/family-court-statistics-quarterly", "Link to publication")</f>
      </c>
      <c r="C17" s="11" t="s">
        <v>50</v>
      </c>
      <c r="D17" s="11" t="s">
        <v>335</v>
      </c>
      <c r="E17" s="11" t="s">
        <v>311</v>
      </c>
      <c r="F17" s="11" t="s">
        <v>335</v>
      </c>
      <c r="G17" s="11" t="s">
        <v>313</v>
      </c>
      <c r="H17" s="11" t="s">
        <v>336</v>
      </c>
    </row>
    <row r="18" ht="20" customHeight="1">
      <c r="A18" s="14" t="s">
        <v>255</v>
      </c>
      <c r="B18" s="17" t="str">
        <f>HYPERLINK("NA", "Link to publication")</f>
      </c>
      <c r="C18" s="11"/>
      <c r="D18" s="11"/>
      <c r="E18" s="11"/>
      <c r="F18" s="11"/>
      <c r="G18" s="11"/>
      <c r="H18" s="11"/>
    </row>
    <row r="19" ht="20" customHeight="1">
      <c r="A19" s="14" t="s">
        <v>257</v>
      </c>
      <c r="B19" s="17" t="str">
        <f>HYPERLINK("https://www.gov.uk/government/collections/criminal-justice-statistics-quarterly", "Link to publication")</f>
      </c>
      <c r="C19" s="11" t="s">
        <v>258</v>
      </c>
      <c r="D19" s="11" t="s">
        <v>337</v>
      </c>
      <c r="E19" s="11" t="s">
        <v>327</v>
      </c>
      <c r="F19" s="11" t="s">
        <v>338</v>
      </c>
      <c r="G19" s="11" t="s">
        <v>319</v>
      </c>
      <c r="H19" s="11" t="s">
        <v>339</v>
      </c>
    </row>
    <row r="20" ht="20" customHeight="1">
      <c r="A20" s="14" t="s">
        <v>259</v>
      </c>
      <c r="B20" s="17" t="str">
        <f>HYPERLINK("https://www.gov.uk/government/collections/prison-and-probation-trusts-performance-statistics", "Link to publication")</f>
      </c>
      <c r="C20" s="11" t="s">
        <v>74</v>
      </c>
      <c r="D20" s="11" t="s">
        <v>340</v>
      </c>
      <c r="E20" s="11" t="s">
        <v>341</v>
      </c>
      <c r="F20" s="11" t="s">
        <v>342</v>
      </c>
      <c r="G20" s="11" t="s">
        <v>313</v>
      </c>
      <c r="H20" s="11" t="s">
        <v>343</v>
      </c>
    </row>
    <row r="21" ht="20" customHeight="1">
      <c r="A21" s="14" t="s">
        <v>260</v>
      </c>
      <c r="B21" s="17" t="str">
        <f>HYPERLINK("https://www.gov.uk/government/collections/hmpps-annual-offender-equalities-report", "Link to publication")</f>
      </c>
      <c r="C21" s="11" t="s">
        <v>152</v>
      </c>
      <c r="D21" s="11" t="s">
        <v>344</v>
      </c>
      <c r="E21" s="11" t="s">
        <v>345</v>
      </c>
      <c r="F21" s="11" t="s">
        <v>344</v>
      </c>
      <c r="G21" s="11" t="s">
        <v>319</v>
      </c>
      <c r="H21" s="11" t="s">
        <v>346</v>
      </c>
    </row>
    <row r="22" ht="20" customHeight="1">
      <c r="A22" s="14" t="s">
        <v>262</v>
      </c>
      <c r="B22" s="17" t="str">
        <f>HYPERLINK("https://www.gov.uk/government/collections/prison-and-probation-trusts-performance-statistics", "Link to publication")</f>
      </c>
      <c r="C22" s="11" t="s">
        <v>19</v>
      </c>
      <c r="D22" s="11" t="s">
        <v>347</v>
      </c>
      <c r="E22" s="11" t="s">
        <v>345</v>
      </c>
      <c r="F22" s="11" t="s">
        <v>347</v>
      </c>
      <c r="G22" s="11" t="s">
        <v>313</v>
      </c>
      <c r="H22" s="11"/>
    </row>
    <row r="23" ht="20" customHeight="1">
      <c r="A23" s="14" t="s">
        <v>265</v>
      </c>
      <c r="B23" s="17" t="str">
        <f>HYPERLINK("https://www.gov.uk/government/collections/hmpps-annual-staff-equalities-report", "Link to publication")</f>
      </c>
      <c r="C23" s="11" t="s">
        <v>250</v>
      </c>
      <c r="D23" s="11" t="s">
        <v>347</v>
      </c>
      <c r="E23" s="11" t="s">
        <v>345</v>
      </c>
      <c r="F23" s="11" t="s">
        <v>347</v>
      </c>
      <c r="G23" s="11" t="s">
        <v>319</v>
      </c>
      <c r="H23" s="11"/>
    </row>
    <row r="24" ht="20" customHeight="1">
      <c r="A24" s="14" t="s">
        <v>266</v>
      </c>
      <c r="B24" s="17" t="str">
        <f>HYPERLINK("https://www.gov.uk/government/collections/justice-data-lab", "Link to publication")</f>
      </c>
      <c r="C24" s="11" t="s">
        <v>21</v>
      </c>
      <c r="D24" s="11" t="s">
        <v>348</v>
      </c>
      <c r="E24" s="11" t="s">
        <v>349</v>
      </c>
      <c r="F24" s="11" t="s">
        <v>350</v>
      </c>
      <c r="G24" s="11" t="s">
        <v>319</v>
      </c>
      <c r="H24" s="11" t="s">
        <v>351</v>
      </c>
    </row>
    <row r="25" ht="20" customHeight="1">
      <c r="A25" s="14" t="s">
        <v>270</v>
      </c>
      <c r="B25" s="17" t="str">
        <f>HYPERLINK("https://www.gov.uk/government/collections/knife-and-offensive-weapon-sentencing-statistics", "Link to publication")</f>
      </c>
      <c r="C25" s="11" t="s">
        <v>42</v>
      </c>
      <c r="D25" s="11" t="s">
        <v>352</v>
      </c>
      <c r="E25" s="11" t="s">
        <v>327</v>
      </c>
      <c r="F25" s="11" t="s">
        <v>338</v>
      </c>
      <c r="G25" s="11" t="s">
        <v>319</v>
      </c>
      <c r="H25" s="11" t="s">
        <v>339</v>
      </c>
    </row>
    <row r="26" ht="20" customHeight="1">
      <c r="A26" s="14" t="s">
        <v>272</v>
      </c>
      <c r="B26" s="17" t="str">
        <f>HYPERLINK("https://www.gov.uk/government/collections/legal-aid-statistics", "Link to publication")</f>
      </c>
      <c r="C26" s="11" t="s">
        <v>50</v>
      </c>
      <c r="D26" s="11" t="s">
        <v>353</v>
      </c>
      <c r="E26" s="11" t="s">
        <v>311</v>
      </c>
      <c r="F26" s="11" t="s">
        <v>354</v>
      </c>
      <c r="G26" s="11" t="s">
        <v>313</v>
      </c>
      <c r="H26" s="11" t="s">
        <v>355</v>
      </c>
    </row>
    <row r="27" ht="20" customHeight="1">
      <c r="A27" s="14" t="s">
        <v>273</v>
      </c>
      <c r="B27" s="17" t="str">
        <f>HYPERLINK("https://www.gov.uk/government/collections/mortgage-and-landlord-possession-statistics", "Link to publication")</f>
      </c>
      <c r="C27" s="11" t="s">
        <v>19</v>
      </c>
      <c r="D27" s="11" t="s">
        <v>356</v>
      </c>
      <c r="E27" s="11" t="s">
        <v>330</v>
      </c>
      <c r="F27" s="11" t="s">
        <v>312</v>
      </c>
      <c r="G27" s="11" t="s">
        <v>313</v>
      </c>
      <c r="H27" s="11" t="s">
        <v>320</v>
      </c>
    </row>
    <row r="28" ht="20" customHeight="1">
      <c r="A28" s="14" t="s">
        <v>277</v>
      </c>
      <c r="B28" s="17" t="str">
        <f>HYPERLINK("https://www.gov.uk/government/collections/multi-agency-public-protection-arrangements-mappa-annual-reports", "Link to publication")</f>
      </c>
      <c r="C28" s="11" t="s">
        <v>131</v>
      </c>
      <c r="D28" s="11" t="s">
        <v>357</v>
      </c>
      <c r="E28" s="11"/>
      <c r="F28" s="11"/>
      <c r="G28" s="11" t="s">
        <v>319</v>
      </c>
      <c r="H28" s="11" t="s">
        <v>358</v>
      </c>
    </row>
    <row r="29" ht="20" customHeight="1">
      <c r="A29" s="14" t="s">
        <v>278</v>
      </c>
      <c r="B29" s="17" t="str">
        <f>HYPERLINK("https://www.gov.uk/government/collections/offender-accommodation-outcome-statistics", "Link to publication")</f>
      </c>
      <c r="C29" s="11" t="s">
        <v>81</v>
      </c>
      <c r="D29" s="11" t="s">
        <v>359</v>
      </c>
      <c r="E29" s="11" t="s">
        <v>316</v>
      </c>
      <c r="F29" s="11" t="s">
        <v>360</v>
      </c>
      <c r="G29" s="11" t="s">
        <v>313</v>
      </c>
      <c r="H29" s="11" t="s">
        <v>361</v>
      </c>
    </row>
    <row r="30" ht="20" customHeight="1">
      <c r="A30" s="14" t="s">
        <v>279</v>
      </c>
      <c r="B30" s="17" t="str">
        <f>HYPERLINK("https://www.gov.uk/government/collections/offender-employment-outcome-statistics", "Link to publication")</f>
      </c>
      <c r="C30" s="11" t="s">
        <v>81</v>
      </c>
      <c r="D30" s="11" t="s">
        <v>359</v>
      </c>
      <c r="E30" s="11" t="s">
        <v>316</v>
      </c>
      <c r="F30" s="11" t="s">
        <v>360</v>
      </c>
      <c r="G30" s="11" t="s">
        <v>313</v>
      </c>
      <c r="H30" s="11" t="s">
        <v>361</v>
      </c>
    </row>
    <row r="31" ht="20" customHeight="1">
      <c r="A31" s="14" t="s">
        <v>280</v>
      </c>
      <c r="B31" s="17" t="str">
        <f>HYPERLINK("https://www.gov.uk/government/collections/offender-management-statistics-quarterly", "Link to publication")</f>
      </c>
      <c r="C31" s="11" t="s">
        <v>21</v>
      </c>
      <c r="D31" s="11" t="s">
        <v>362</v>
      </c>
      <c r="E31" s="11" t="s">
        <v>363</v>
      </c>
      <c r="F31" s="11" t="s">
        <v>364</v>
      </c>
      <c r="G31" s="11" t="s">
        <v>313</v>
      </c>
      <c r="H31" s="11" t="s">
        <v>365</v>
      </c>
    </row>
    <row r="32" ht="20" customHeight="1">
      <c r="A32" s="14" t="s">
        <v>282</v>
      </c>
      <c r="B32" s="17" t="str">
        <f>HYPERLINK("https://www.gov.uk/government/collections/prison-education-statistics", "Link to publication")</f>
      </c>
      <c r="C32" s="11" t="s">
        <v>154</v>
      </c>
      <c r="D32" s="11" t="s">
        <v>344</v>
      </c>
      <c r="E32" s="11" t="s">
        <v>345</v>
      </c>
      <c r="F32" s="11" t="s">
        <v>344</v>
      </c>
      <c r="G32" s="11" t="s">
        <v>319</v>
      </c>
      <c r="H32" s="11" t="s">
        <v>343</v>
      </c>
    </row>
    <row r="33" ht="20" customHeight="1">
      <c r="A33" s="14" t="s">
        <v>283</v>
      </c>
      <c r="B33" s="17" t="str">
        <f>HYPERLINK("https://www.gov.uk/government/collections/prison-and-probation-trusts-performance-statistics", "Link to publication")</f>
      </c>
      <c r="C33" s="11" t="s">
        <v>74</v>
      </c>
      <c r="D33" s="11" t="s">
        <v>366</v>
      </c>
      <c r="E33" s="11" t="s">
        <v>316</v>
      </c>
      <c r="F33" s="11" t="s">
        <v>367</v>
      </c>
      <c r="G33" s="11" t="s">
        <v>319</v>
      </c>
      <c r="H33" s="11" t="s">
        <v>368</v>
      </c>
    </row>
    <row r="34" ht="20" customHeight="1">
      <c r="A34" s="14" t="s">
        <v>284</v>
      </c>
      <c r="B34" s="17" t="str">
        <f>HYPERLINK("https://www.gov.uk/government/collections/prison-population-projections", "Link to publication")</f>
      </c>
      <c r="C34" s="11" t="s">
        <v>157</v>
      </c>
      <c r="D34" s="11" t="s">
        <v>369</v>
      </c>
      <c r="E34" s="11" t="s">
        <v>370</v>
      </c>
      <c r="F34" s="11" t="s">
        <v>369</v>
      </c>
      <c r="G34" s="11" t="s">
        <v>319</v>
      </c>
      <c r="H34" s="11" t="s">
        <v>371</v>
      </c>
    </row>
    <row r="35" ht="20" customHeight="1">
      <c r="A35" s="14" t="s">
        <v>286</v>
      </c>
      <c r="B35" s="17" t="str">
        <f>HYPERLINK("https://www.gov.uk/government/collections/proven-reoffending-statistics", "Link to publication")</f>
      </c>
      <c r="C35" s="11" t="s">
        <v>21</v>
      </c>
      <c r="D35" s="11" t="s">
        <v>372</v>
      </c>
      <c r="E35" s="11" t="s">
        <v>327</v>
      </c>
      <c r="F35" s="11" t="s">
        <v>372</v>
      </c>
      <c r="G35" s="11" t="s">
        <v>313</v>
      </c>
      <c r="H35" s="11" t="s">
        <v>373</v>
      </c>
    </row>
    <row r="36" ht="20" customHeight="1">
      <c r="A36" s="14" t="s">
        <v>287</v>
      </c>
      <c r="B36" s="17" t="str">
        <f>HYPERLINK("https://www.gov.uk/government/collections/restricted-patients-statistics", "Link to publication")</f>
      </c>
      <c r="C36" s="11" t="s">
        <v>288</v>
      </c>
      <c r="D36" s="11" t="s">
        <v>357</v>
      </c>
      <c r="E36" s="11"/>
      <c r="F36" s="11"/>
      <c r="G36" s="11" t="s">
        <v>313</v>
      </c>
      <c r="H36" s="11" t="s">
        <v>374</v>
      </c>
    </row>
    <row r="37" ht="20" customHeight="1">
      <c r="A37" s="14" t="s">
        <v>289</v>
      </c>
      <c r="B37" s="17" t="str">
        <f>HYPERLINK("https://www.gov.uk/government/collections/safety-in-custody-statistics", "Link to publication")</f>
      </c>
      <c r="C37" s="11" t="s">
        <v>21</v>
      </c>
      <c r="D37" s="11" t="s">
        <v>375</v>
      </c>
      <c r="E37" s="11" t="s">
        <v>376</v>
      </c>
      <c r="F37" s="11" t="s">
        <v>377</v>
      </c>
      <c r="G37" s="11" t="s">
        <v>313</v>
      </c>
      <c r="H37" s="11" t="s">
        <v>365</v>
      </c>
    </row>
    <row r="38" ht="20" customHeight="1">
      <c r="A38" s="14" t="s">
        <v>291</v>
      </c>
      <c r="B38" s="17" t="str">
        <f>HYPERLINK("https://www.gov.uk/government/collections/youth-custody-data", "Link to publication")</f>
      </c>
      <c r="C38" s="11" t="s">
        <v>21</v>
      </c>
      <c r="D38" s="11" t="s">
        <v>378</v>
      </c>
      <c r="E38" s="11" t="s">
        <v>379</v>
      </c>
      <c r="F38" s="11" t="s">
        <v>378</v>
      </c>
      <c r="G38" s="11" t="s">
        <v>319</v>
      </c>
      <c r="H38" s="11" t="s">
        <v>380</v>
      </c>
    </row>
    <row r="39" ht="20" customHeight="1">
      <c r="A39" s="14" t="s">
        <v>292</v>
      </c>
      <c r="B39" s="17" t="str">
        <f>HYPERLINK("https://www.gov.uk/government/collections/proven-reoffending-statistics", "Link to publication")</f>
      </c>
      <c r="C39" s="11" t="s">
        <v>131</v>
      </c>
      <c r="D39" s="11" t="s">
        <v>357</v>
      </c>
      <c r="E39" s="11"/>
      <c r="F39" s="11"/>
      <c r="G39" s="11" t="s">
        <v>313</v>
      </c>
      <c r="H39" s="11" t="s">
        <v>381</v>
      </c>
    </row>
    <row r="40" ht="20" customHeight="1">
      <c r="A40" s="14" t="s">
        <v>293</v>
      </c>
      <c r="B40" s="17" t="str">
        <f>HYPERLINK("https://www.gov.uk/government/collections/tribunals-statistics", "Link to publication")</f>
      </c>
      <c r="C40" s="11" t="s">
        <v>50</v>
      </c>
      <c r="D40" s="11" t="s">
        <v>382</v>
      </c>
      <c r="E40" s="11" t="s">
        <v>311</v>
      </c>
      <c r="F40" s="11" t="s">
        <v>312</v>
      </c>
      <c r="G40" s="11" t="s">
        <v>313</v>
      </c>
      <c r="H40" s="11" t="s">
        <v>320</v>
      </c>
    </row>
    <row r="41" ht="20" customHeight="1">
      <c r="A41" s="14" t="s">
        <v>297</v>
      </c>
      <c r="B41" s="17" t="str">
        <f>HYPERLINK("https://www.gov.uk/government/collections/unpaid-work-management-information", "Link to publication")</f>
      </c>
      <c r="C41" s="11" t="s">
        <v>32</v>
      </c>
      <c r="D41" s="11" t="s">
        <v>359</v>
      </c>
      <c r="E41" s="11" t="s">
        <v>316</v>
      </c>
      <c r="F41" s="11" t="s">
        <v>360</v>
      </c>
      <c r="G41" s="11" t="s">
        <v>319</v>
      </c>
      <c r="H41" s="11" t="s">
        <v>383</v>
      </c>
    </row>
    <row r="42" ht="20" customHeight="1">
      <c r="A42" s="14" t="s">
        <v>299</v>
      </c>
      <c r="B42" s="17" t="str">
        <f>HYPERLINK("https://www.gov.uk/government/collections/women-and-the-criminal-justice-system", "Link to publication")</f>
      </c>
      <c r="C42" s="11" t="s">
        <v>250</v>
      </c>
      <c r="D42" s="11" t="s">
        <v>324</v>
      </c>
      <c r="E42" s="11" t="s">
        <v>322</v>
      </c>
      <c r="F42" s="11" t="s">
        <v>324</v>
      </c>
      <c r="G42" s="11" t="s">
        <v>319</v>
      </c>
      <c r="H42" s="11" t="s">
        <v>325</v>
      </c>
    </row>
    <row r="43" ht="20" customHeight="1">
      <c r="A43" s="14" t="s">
        <v>300</v>
      </c>
      <c r="B43" s="17" t="str">
        <f>HYPERLINK("https://www.gov.uk/government/collections/youth-justice-statistics", "Link to publication")</f>
      </c>
      <c r="C43" s="11" t="s">
        <v>301</v>
      </c>
      <c r="D43" s="11" t="s">
        <v>384</v>
      </c>
      <c r="E43" s="11" t="s">
        <v>385</v>
      </c>
      <c r="F43" s="11" t="s">
        <v>386</v>
      </c>
      <c r="G43" s="11" t="s">
        <v>319</v>
      </c>
      <c r="H43" s="11" t="s">
        <v>387</v>
      </c>
    </row>
  </sheetData>
  <autoFilter ref="A6:H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haydensmith878</dc:creator>
  <cp:lastModifiedBy>haydensmith878</cp:lastModifiedBy>
  <dcterms:created xsi:type="dcterms:W3CDTF">2026-04-29T12:01:18Z</dcterms:created>
</coreProperties>
</file>